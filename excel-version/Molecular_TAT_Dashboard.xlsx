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ende\Documents\Molecular-tat-dashboard-excel\"/>
    </mc:Choice>
  </mc:AlternateContent>
  <xr:revisionPtr revIDLastSave="0" documentId="13_ncr:1_{9ABABB1D-8C6C-44F5-BE61-5F67D415A95F}" xr6:coauthVersionLast="47" xr6:coauthVersionMax="47" xr10:uidLastSave="{00000000-0000-0000-0000-000000000000}"/>
  <bookViews>
    <workbookView xWindow="-105" yWindow="0" windowWidth="19410" windowHeight="15585" tabRatio="701" activeTab="1" xr2:uid="{00000000-000D-0000-FFFF-FFFF00000000}"/>
  </bookViews>
  <sheets>
    <sheet name="Project_Overview" sheetId="9" r:id="rId1"/>
    <sheet name="Dashboard" sheetId="8" r:id="rId2"/>
    <sheet name="Methodology" sheetId="10" r:id="rId3"/>
    <sheet name="Workflow_TAT_Breakdown" sheetId="7" r:id="rId4"/>
    <sheet name="Pivot_TAT_By_Platform" sheetId="2" r:id="rId5"/>
    <sheet name="Pivot_TAT_By_Location" sheetId="3" r:id="rId6"/>
    <sheet name="Pivot_TAT_By_Shift" sheetId="5" r:id="rId7"/>
    <sheet name="Pivot_Test_Volume_By_Platform" sheetId="6" r:id="rId8"/>
    <sheet name="Pivot_KPI" sheetId="13" r:id="rId9"/>
    <sheet name="Raw_Molecular_TAT_Data" sheetId="1" r:id="rId10"/>
  </sheets>
  <definedNames>
    <definedName name="Slicer_Location">#N/A</definedName>
    <definedName name="Slicer_Platform">#N/A</definedName>
    <definedName name="Slicer_Shift">#N/A</definedName>
    <definedName name="Slicer_Test_Name">#N/A</definedName>
  </definedNames>
  <calcPr calcId="191028"/>
  <pivotCaches>
    <pivotCache cacheId="0" r:id="rId11"/>
    <pivotCache cacheId="7"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3" l="1"/>
  <c r="N32" i="1"/>
  <c r="N111" i="1"/>
  <c r="N13" i="1"/>
  <c r="N131" i="1"/>
  <c r="N168" i="1"/>
  <c r="N16" i="1"/>
  <c r="N23" i="1"/>
  <c r="N35" i="1"/>
  <c r="N39" i="1"/>
  <c r="N142" i="1"/>
  <c r="N101" i="1"/>
  <c r="N86" i="1"/>
  <c r="N36" i="1"/>
  <c r="N121" i="1"/>
  <c r="N163" i="1"/>
  <c r="N178" i="1"/>
  <c r="N139" i="1"/>
  <c r="N186" i="1"/>
  <c r="N103" i="1"/>
  <c r="N133" i="1"/>
  <c r="N78" i="1"/>
  <c r="N6" i="1"/>
  <c r="N137" i="1"/>
  <c r="N53" i="1"/>
  <c r="N65" i="1"/>
  <c r="N109" i="1"/>
  <c r="N33" i="1"/>
  <c r="N83" i="1"/>
  <c r="N107" i="1"/>
  <c r="N3" i="1"/>
  <c r="N45" i="1"/>
  <c r="N179" i="1"/>
  <c r="N29" i="1"/>
  <c r="N129" i="1"/>
  <c r="N171" i="1"/>
  <c r="N97" i="1"/>
  <c r="N48" i="1"/>
  <c r="N191" i="1"/>
  <c r="N148" i="1"/>
  <c r="N54" i="1"/>
  <c r="N93" i="1"/>
  <c r="N123" i="1"/>
  <c r="N72" i="1"/>
  <c r="N4" i="1"/>
  <c r="N10" i="1"/>
  <c r="N176" i="1"/>
  <c r="N155" i="1"/>
  <c r="N43" i="1"/>
  <c r="N64" i="1"/>
  <c r="N24" i="1"/>
  <c r="N165" i="1"/>
  <c r="N140" i="1"/>
  <c r="N145" i="1"/>
  <c r="N104" i="1"/>
  <c r="N69" i="1"/>
  <c r="N151" i="1"/>
  <c r="N49" i="1"/>
  <c r="N70" i="1"/>
  <c r="N185" i="1"/>
  <c r="N79" i="1"/>
  <c r="N100" i="1"/>
  <c r="N75" i="1"/>
  <c r="N138" i="1"/>
  <c r="N87" i="1"/>
  <c r="N122" i="1"/>
  <c r="N25" i="1"/>
  <c r="N174" i="1"/>
  <c r="N154" i="1"/>
  <c r="N55" i="1"/>
  <c r="N127" i="1"/>
  <c r="N80" i="1"/>
  <c r="N63" i="1"/>
  <c r="N196" i="1"/>
  <c r="N169" i="1"/>
  <c r="N40" i="1"/>
  <c r="N105" i="1"/>
  <c r="N2" i="1"/>
  <c r="N77" i="1"/>
  <c r="N116" i="1"/>
  <c r="N194" i="1"/>
  <c r="N156" i="1"/>
  <c r="N62" i="1"/>
  <c r="N134" i="1"/>
  <c r="N61" i="1"/>
  <c r="N81" i="1"/>
  <c r="N27" i="1"/>
  <c r="N124" i="1"/>
  <c r="N59" i="1"/>
  <c r="N144" i="1"/>
  <c r="N150" i="1"/>
  <c r="N125" i="1"/>
  <c r="N118" i="1"/>
  <c r="N66" i="1"/>
  <c r="N84" i="1"/>
  <c r="N117" i="1"/>
  <c r="N47" i="1"/>
  <c r="N92" i="1"/>
  <c r="N14" i="1"/>
  <c r="N152" i="1"/>
  <c r="N31" i="1"/>
  <c r="N50" i="1"/>
  <c r="N193" i="1"/>
  <c r="N146" i="1"/>
  <c r="N46" i="1"/>
  <c r="N15" i="1"/>
  <c r="N88" i="1"/>
  <c r="N56" i="1"/>
  <c r="N76" i="1"/>
  <c r="N82" i="1"/>
  <c r="N180" i="1"/>
  <c r="N114" i="1"/>
  <c r="N22" i="1"/>
  <c r="N128" i="1"/>
  <c r="N7" i="1"/>
  <c r="N8" i="1"/>
  <c r="N192" i="1"/>
  <c r="N110" i="1"/>
  <c r="N9" i="1"/>
  <c r="N166" i="1"/>
  <c r="N95" i="1"/>
  <c r="N200" i="1"/>
  <c r="N159" i="1"/>
  <c r="N5" i="1"/>
  <c r="N119" i="1"/>
  <c r="N12" i="1"/>
  <c r="N91" i="1"/>
  <c r="N120" i="1"/>
  <c r="N181" i="1"/>
  <c r="N158" i="1"/>
  <c r="N132" i="1"/>
  <c r="N157" i="1"/>
  <c r="N17" i="1"/>
  <c r="N89" i="1"/>
  <c r="N57" i="1"/>
  <c r="N135" i="1"/>
  <c r="N162" i="1"/>
  <c r="N26" i="1"/>
  <c r="N21" i="1"/>
  <c r="N172" i="1"/>
  <c r="N106" i="1"/>
  <c r="N42" i="1"/>
  <c r="N19" i="1"/>
  <c r="N173" i="1"/>
  <c r="N153" i="1"/>
  <c r="N38" i="1"/>
  <c r="N184" i="1"/>
  <c r="N34" i="1"/>
  <c r="N126" i="1"/>
  <c r="N197" i="1"/>
  <c r="N167" i="1"/>
  <c r="N52" i="1"/>
  <c r="N74" i="1"/>
  <c r="N44" i="1"/>
  <c r="N187" i="1"/>
  <c r="N170" i="1"/>
  <c r="N108" i="1"/>
  <c r="N68" i="1"/>
  <c r="N20" i="1"/>
  <c r="N41" i="1"/>
  <c r="N112" i="1"/>
  <c r="N37" i="1"/>
  <c r="N182" i="1"/>
  <c r="N161" i="1"/>
  <c r="N18" i="1"/>
  <c r="N96" i="1"/>
  <c r="N190" i="1"/>
  <c r="N188" i="1"/>
  <c r="N143" i="1"/>
  <c r="N11" i="1"/>
  <c r="N141" i="1"/>
  <c r="N115" i="1"/>
  <c r="N175" i="1"/>
  <c r="N164" i="1"/>
  <c r="N149" i="1"/>
  <c r="N160" i="1"/>
  <c r="N136" i="1"/>
  <c r="N94" i="1"/>
  <c r="N147" i="1"/>
  <c r="N67" i="1"/>
  <c r="N60" i="1"/>
  <c r="N183" i="1"/>
  <c r="N198" i="1"/>
  <c r="N199" i="1"/>
  <c r="N189" i="1"/>
  <c r="N28" i="1"/>
  <c r="N51" i="1"/>
  <c r="N90" i="1"/>
  <c r="N130" i="1"/>
  <c r="N85" i="1"/>
  <c r="N58" i="1"/>
  <c r="N71" i="1"/>
  <c r="N195" i="1"/>
  <c r="N98" i="1"/>
  <c r="N177" i="1"/>
  <c r="N102" i="1"/>
  <c r="N99" i="1"/>
  <c r="N30" i="1"/>
  <c r="N113" i="1"/>
  <c r="N73" i="1"/>
  <c r="M32" i="1"/>
  <c r="M111" i="1"/>
  <c r="M13" i="1"/>
  <c r="M131" i="1"/>
  <c r="M168" i="1"/>
  <c r="M16" i="1"/>
  <c r="M23" i="1"/>
  <c r="M35" i="1"/>
  <c r="M39" i="1"/>
  <c r="M142" i="1"/>
  <c r="M101" i="1"/>
  <c r="M86" i="1"/>
  <c r="M36" i="1"/>
  <c r="M121" i="1"/>
  <c r="M163" i="1"/>
  <c r="M178" i="1"/>
  <c r="M139" i="1"/>
  <c r="M186" i="1"/>
  <c r="M103" i="1"/>
  <c r="M133" i="1"/>
  <c r="M78" i="1"/>
  <c r="M6" i="1"/>
  <c r="M137" i="1"/>
  <c r="M53" i="1"/>
  <c r="M65" i="1"/>
  <c r="M109" i="1"/>
  <c r="M33" i="1"/>
  <c r="M83" i="1"/>
  <c r="M107" i="1"/>
  <c r="M3" i="1"/>
  <c r="M45" i="1"/>
  <c r="M179" i="1"/>
  <c r="M29" i="1"/>
  <c r="M129" i="1"/>
  <c r="M171" i="1"/>
  <c r="M97" i="1"/>
  <c r="M48" i="1"/>
  <c r="M191" i="1"/>
  <c r="M148" i="1"/>
  <c r="M54" i="1"/>
  <c r="M93" i="1"/>
  <c r="M123" i="1"/>
  <c r="M72" i="1"/>
  <c r="M4" i="1"/>
  <c r="M10" i="1"/>
  <c r="M176" i="1"/>
  <c r="M155" i="1"/>
  <c r="M43" i="1"/>
  <c r="M64" i="1"/>
  <c r="M24" i="1"/>
  <c r="M165" i="1"/>
  <c r="M140" i="1"/>
  <c r="M145" i="1"/>
  <c r="M104" i="1"/>
  <c r="M69" i="1"/>
  <c r="M151" i="1"/>
  <c r="M49" i="1"/>
  <c r="M70" i="1"/>
  <c r="M185" i="1"/>
  <c r="M79" i="1"/>
  <c r="M100" i="1"/>
  <c r="M75" i="1"/>
  <c r="M138" i="1"/>
  <c r="M87" i="1"/>
  <c r="M122" i="1"/>
  <c r="M25" i="1"/>
  <c r="M174" i="1"/>
  <c r="M154" i="1"/>
  <c r="M55" i="1"/>
  <c r="M127" i="1"/>
  <c r="M80" i="1"/>
  <c r="M63" i="1"/>
  <c r="M196" i="1"/>
  <c r="M169" i="1"/>
  <c r="M40" i="1"/>
  <c r="M105" i="1"/>
  <c r="M2" i="1"/>
  <c r="M77" i="1"/>
  <c r="M116" i="1"/>
  <c r="M194" i="1"/>
  <c r="M156" i="1"/>
  <c r="M62" i="1"/>
  <c r="M134" i="1"/>
  <c r="M61" i="1"/>
  <c r="M81" i="1"/>
  <c r="M27" i="1"/>
  <c r="M124" i="1"/>
  <c r="M59" i="1"/>
  <c r="M144" i="1"/>
  <c r="M150" i="1"/>
  <c r="M125" i="1"/>
  <c r="M118" i="1"/>
  <c r="M66" i="1"/>
  <c r="M84" i="1"/>
  <c r="M117" i="1"/>
  <c r="M47" i="1"/>
  <c r="M92" i="1"/>
  <c r="M14" i="1"/>
  <c r="M152" i="1"/>
  <c r="M31" i="1"/>
  <c r="M50" i="1"/>
  <c r="M193" i="1"/>
  <c r="M146" i="1"/>
  <c r="M46" i="1"/>
  <c r="M15" i="1"/>
  <c r="M88" i="1"/>
  <c r="M56" i="1"/>
  <c r="M76" i="1"/>
  <c r="M82" i="1"/>
  <c r="M180" i="1"/>
  <c r="M114" i="1"/>
  <c r="M22" i="1"/>
  <c r="M128" i="1"/>
  <c r="M7" i="1"/>
  <c r="M8" i="1"/>
  <c r="M192" i="1"/>
  <c r="M110" i="1"/>
  <c r="M9" i="1"/>
  <c r="M166" i="1"/>
  <c r="M95" i="1"/>
  <c r="M200" i="1"/>
  <c r="M159" i="1"/>
  <c r="M5" i="1"/>
  <c r="M119" i="1"/>
  <c r="M12" i="1"/>
  <c r="M91" i="1"/>
  <c r="M120" i="1"/>
  <c r="M181" i="1"/>
  <c r="M158" i="1"/>
  <c r="M132" i="1"/>
  <c r="M157" i="1"/>
  <c r="M17" i="1"/>
  <c r="M89" i="1"/>
  <c r="M57" i="1"/>
  <c r="M135" i="1"/>
  <c r="M162" i="1"/>
  <c r="M26" i="1"/>
  <c r="M21" i="1"/>
  <c r="M172" i="1"/>
  <c r="M106" i="1"/>
  <c r="M42" i="1"/>
  <c r="M19" i="1"/>
  <c r="M173" i="1"/>
  <c r="M153" i="1"/>
  <c r="M38" i="1"/>
  <c r="M184" i="1"/>
  <c r="M34" i="1"/>
  <c r="M126" i="1"/>
  <c r="M197" i="1"/>
  <c r="M167" i="1"/>
  <c r="M52" i="1"/>
  <c r="M74" i="1"/>
  <c r="M44" i="1"/>
  <c r="M187" i="1"/>
  <c r="M170" i="1"/>
  <c r="M108" i="1"/>
  <c r="M68" i="1"/>
  <c r="M20" i="1"/>
  <c r="M41" i="1"/>
  <c r="M112" i="1"/>
  <c r="M37" i="1"/>
  <c r="M182" i="1"/>
  <c r="M161" i="1"/>
  <c r="M18" i="1"/>
  <c r="M96" i="1"/>
  <c r="M190" i="1"/>
  <c r="M188" i="1"/>
  <c r="M143" i="1"/>
  <c r="M11" i="1"/>
  <c r="M141" i="1"/>
  <c r="M115" i="1"/>
  <c r="M175" i="1"/>
  <c r="M164" i="1"/>
  <c r="M149" i="1"/>
  <c r="M160" i="1"/>
  <c r="M136" i="1"/>
  <c r="M94" i="1"/>
  <c r="M147" i="1"/>
  <c r="M67" i="1"/>
  <c r="M60" i="1"/>
  <c r="M183" i="1"/>
  <c r="M198" i="1"/>
  <c r="M199" i="1"/>
  <c r="M189" i="1"/>
  <c r="M28" i="1"/>
  <c r="M51" i="1"/>
  <c r="M90" i="1"/>
  <c r="M130" i="1"/>
  <c r="M85" i="1"/>
  <c r="M58" i="1"/>
  <c r="M71" i="1"/>
  <c r="M195" i="1"/>
  <c r="M98" i="1"/>
  <c r="M177" i="1"/>
  <c r="M102" i="1"/>
  <c r="M99" i="1"/>
  <c r="M30" i="1"/>
  <c r="M113" i="1"/>
  <c r="M73" i="1"/>
  <c r="L32" i="1"/>
  <c r="L111" i="1"/>
  <c r="L13" i="1"/>
  <c r="L131" i="1"/>
  <c r="L168" i="1"/>
  <c r="L16" i="1"/>
  <c r="L23" i="1"/>
  <c r="L35" i="1"/>
  <c r="L39" i="1"/>
  <c r="L142" i="1"/>
  <c r="L101" i="1"/>
  <c r="L86" i="1"/>
  <c r="L36" i="1"/>
  <c r="L121" i="1"/>
  <c r="L163" i="1"/>
  <c r="L178" i="1"/>
  <c r="L139" i="1"/>
  <c r="L186" i="1"/>
  <c r="L103" i="1"/>
  <c r="L133" i="1"/>
  <c r="L78" i="1"/>
  <c r="L6" i="1"/>
  <c r="L137" i="1"/>
  <c r="L53" i="1"/>
  <c r="L65" i="1"/>
  <c r="L109" i="1"/>
  <c r="L33" i="1"/>
  <c r="L83" i="1"/>
  <c r="L107" i="1"/>
  <c r="L3" i="1"/>
  <c r="L45" i="1"/>
  <c r="L179" i="1"/>
  <c r="L29" i="1"/>
  <c r="L129" i="1"/>
  <c r="L171" i="1"/>
  <c r="L97" i="1"/>
  <c r="L48" i="1"/>
  <c r="L191" i="1"/>
  <c r="L148" i="1"/>
  <c r="L54" i="1"/>
  <c r="L93" i="1"/>
  <c r="L123" i="1"/>
  <c r="L72" i="1"/>
  <c r="L4" i="1"/>
  <c r="L10" i="1"/>
  <c r="L176" i="1"/>
  <c r="L155" i="1"/>
  <c r="L43" i="1"/>
  <c r="L64" i="1"/>
  <c r="L24" i="1"/>
  <c r="L165" i="1"/>
  <c r="L140" i="1"/>
  <c r="L145" i="1"/>
  <c r="L104" i="1"/>
  <c r="L69" i="1"/>
  <c r="L151" i="1"/>
  <c r="L49" i="1"/>
  <c r="L70" i="1"/>
  <c r="L185" i="1"/>
  <c r="L79" i="1"/>
  <c r="L100" i="1"/>
  <c r="L75" i="1"/>
  <c r="L138" i="1"/>
  <c r="L87" i="1"/>
  <c r="L122" i="1"/>
  <c r="L25" i="1"/>
  <c r="L174" i="1"/>
  <c r="L154" i="1"/>
  <c r="L55" i="1"/>
  <c r="L127" i="1"/>
  <c r="L80" i="1"/>
  <c r="L63" i="1"/>
  <c r="L196" i="1"/>
  <c r="L169" i="1"/>
  <c r="L40" i="1"/>
  <c r="L105" i="1"/>
  <c r="L2" i="1"/>
  <c r="L77" i="1"/>
  <c r="L116" i="1"/>
  <c r="L194" i="1"/>
  <c r="L156" i="1"/>
  <c r="L62" i="1"/>
  <c r="L134" i="1"/>
  <c r="L61" i="1"/>
  <c r="L81" i="1"/>
  <c r="L27" i="1"/>
  <c r="L124" i="1"/>
  <c r="L59" i="1"/>
  <c r="L144" i="1"/>
  <c r="L150" i="1"/>
  <c r="L125" i="1"/>
  <c r="L118" i="1"/>
  <c r="L66" i="1"/>
  <c r="L84" i="1"/>
  <c r="L117" i="1"/>
  <c r="L47" i="1"/>
  <c r="L92" i="1"/>
  <c r="L14" i="1"/>
  <c r="L152" i="1"/>
  <c r="L31" i="1"/>
  <c r="L50" i="1"/>
  <c r="L193" i="1"/>
  <c r="L146" i="1"/>
  <c r="L46" i="1"/>
  <c r="L15" i="1"/>
  <c r="L88" i="1"/>
  <c r="L56" i="1"/>
  <c r="L76" i="1"/>
  <c r="L82" i="1"/>
  <c r="L180" i="1"/>
  <c r="L114" i="1"/>
  <c r="L22" i="1"/>
  <c r="L128" i="1"/>
  <c r="L7" i="1"/>
  <c r="L8" i="1"/>
  <c r="L192" i="1"/>
  <c r="L110" i="1"/>
  <c r="L9" i="1"/>
  <c r="L166" i="1"/>
  <c r="L95" i="1"/>
  <c r="L200" i="1"/>
  <c r="L159" i="1"/>
  <c r="L5" i="1"/>
  <c r="L119" i="1"/>
  <c r="L12" i="1"/>
  <c r="L91" i="1"/>
  <c r="L120" i="1"/>
  <c r="L181" i="1"/>
  <c r="L158" i="1"/>
  <c r="L132" i="1"/>
  <c r="L157" i="1"/>
  <c r="L17" i="1"/>
  <c r="L89" i="1"/>
  <c r="L57" i="1"/>
  <c r="L135" i="1"/>
  <c r="L162" i="1"/>
  <c r="L26" i="1"/>
  <c r="L21" i="1"/>
  <c r="L172" i="1"/>
  <c r="L106" i="1"/>
  <c r="L42" i="1"/>
  <c r="L19" i="1"/>
  <c r="L173" i="1"/>
  <c r="L153" i="1"/>
  <c r="L38" i="1"/>
  <c r="L184" i="1"/>
  <c r="L34" i="1"/>
  <c r="L126" i="1"/>
  <c r="L197" i="1"/>
  <c r="L167" i="1"/>
  <c r="L52" i="1"/>
  <c r="L74" i="1"/>
  <c r="L44" i="1"/>
  <c r="L187" i="1"/>
  <c r="L170" i="1"/>
  <c r="L108" i="1"/>
  <c r="L68" i="1"/>
  <c r="L20" i="1"/>
  <c r="L41" i="1"/>
  <c r="L112" i="1"/>
  <c r="L37" i="1"/>
  <c r="L182" i="1"/>
  <c r="L161" i="1"/>
  <c r="L18" i="1"/>
  <c r="L96" i="1"/>
  <c r="L190" i="1"/>
  <c r="L188" i="1"/>
  <c r="L143" i="1"/>
  <c r="L11" i="1"/>
  <c r="L141" i="1"/>
  <c r="L115" i="1"/>
  <c r="L175" i="1"/>
  <c r="L164" i="1"/>
  <c r="L149" i="1"/>
  <c r="L160" i="1"/>
  <c r="L136" i="1"/>
  <c r="L94" i="1"/>
  <c r="L147" i="1"/>
  <c r="L67" i="1"/>
  <c r="L60" i="1"/>
  <c r="L183" i="1"/>
  <c r="L198" i="1"/>
  <c r="L199" i="1"/>
  <c r="L189" i="1"/>
  <c r="L28" i="1"/>
  <c r="L51" i="1"/>
  <c r="L90" i="1"/>
  <c r="L130" i="1"/>
  <c r="L85" i="1"/>
  <c r="L58" i="1"/>
  <c r="L71" i="1"/>
  <c r="L195" i="1"/>
  <c r="L98" i="1"/>
  <c r="L177" i="1"/>
  <c r="L102" i="1"/>
  <c r="L99" i="1"/>
  <c r="L30" i="1"/>
  <c r="L113" i="1"/>
  <c r="L73" i="1"/>
  <c r="K32" i="1"/>
  <c r="O32" i="1" s="1"/>
  <c r="K111" i="1"/>
  <c r="K13" i="1"/>
  <c r="K131" i="1"/>
  <c r="K168" i="1"/>
  <c r="K16" i="1"/>
  <c r="K23" i="1"/>
  <c r="K35" i="1"/>
  <c r="K39" i="1"/>
  <c r="O39" i="1" s="1"/>
  <c r="K142" i="1"/>
  <c r="K101" i="1"/>
  <c r="K86" i="1"/>
  <c r="K36" i="1"/>
  <c r="K121" i="1"/>
  <c r="K163" i="1"/>
  <c r="K178" i="1"/>
  <c r="K139" i="1"/>
  <c r="O139" i="1" s="1"/>
  <c r="K186" i="1"/>
  <c r="K103" i="1"/>
  <c r="K133" i="1"/>
  <c r="K78" i="1"/>
  <c r="K6" i="1"/>
  <c r="K137" i="1"/>
  <c r="K53" i="1"/>
  <c r="K65" i="1"/>
  <c r="O65" i="1" s="1"/>
  <c r="K109" i="1"/>
  <c r="K33" i="1"/>
  <c r="K83" i="1"/>
  <c r="K107" i="1"/>
  <c r="K3" i="1"/>
  <c r="K45" i="1"/>
  <c r="K179" i="1"/>
  <c r="K29" i="1"/>
  <c r="O29" i="1" s="1"/>
  <c r="K129" i="1"/>
  <c r="K171" i="1"/>
  <c r="K97" i="1"/>
  <c r="K48" i="1"/>
  <c r="K191" i="1"/>
  <c r="K148" i="1"/>
  <c r="K54" i="1"/>
  <c r="K93" i="1"/>
  <c r="O93" i="1" s="1"/>
  <c r="K123" i="1"/>
  <c r="K72" i="1"/>
  <c r="K4" i="1"/>
  <c r="K10" i="1"/>
  <c r="K176" i="1"/>
  <c r="K155" i="1"/>
  <c r="K43" i="1"/>
  <c r="K64" i="1"/>
  <c r="O64" i="1" s="1"/>
  <c r="K24" i="1"/>
  <c r="K165" i="1"/>
  <c r="K140" i="1"/>
  <c r="K145" i="1"/>
  <c r="K104" i="1"/>
  <c r="K69" i="1"/>
  <c r="K151" i="1"/>
  <c r="K49" i="1"/>
  <c r="O49" i="1" s="1"/>
  <c r="K70" i="1"/>
  <c r="K185" i="1"/>
  <c r="K79" i="1"/>
  <c r="K100" i="1"/>
  <c r="K75" i="1"/>
  <c r="K138" i="1"/>
  <c r="K87" i="1"/>
  <c r="K122" i="1"/>
  <c r="O122" i="1" s="1"/>
  <c r="K25" i="1"/>
  <c r="K174" i="1"/>
  <c r="K154" i="1"/>
  <c r="K55" i="1"/>
  <c r="K127" i="1"/>
  <c r="K80" i="1"/>
  <c r="K63" i="1"/>
  <c r="K196" i="1"/>
  <c r="O196" i="1" s="1"/>
  <c r="K169" i="1"/>
  <c r="K40" i="1"/>
  <c r="K105" i="1"/>
  <c r="K2" i="1"/>
  <c r="K77" i="1"/>
  <c r="K116" i="1"/>
  <c r="K194" i="1"/>
  <c r="K156" i="1"/>
  <c r="O156" i="1" s="1"/>
  <c r="K62" i="1"/>
  <c r="K134" i="1"/>
  <c r="K61" i="1"/>
  <c r="K81" i="1"/>
  <c r="K27" i="1"/>
  <c r="K124" i="1"/>
  <c r="K59" i="1"/>
  <c r="K144" i="1"/>
  <c r="O144" i="1" s="1"/>
  <c r="K150" i="1"/>
  <c r="K125" i="1"/>
  <c r="K118" i="1"/>
  <c r="K66" i="1"/>
  <c r="K84" i="1"/>
  <c r="K117" i="1"/>
  <c r="K47" i="1"/>
  <c r="K92" i="1"/>
  <c r="O92" i="1" s="1"/>
  <c r="K14" i="1"/>
  <c r="K152" i="1"/>
  <c r="K31" i="1"/>
  <c r="K50" i="1"/>
  <c r="K193" i="1"/>
  <c r="K146" i="1"/>
  <c r="K46" i="1"/>
  <c r="K15" i="1"/>
  <c r="O15" i="1" s="1"/>
  <c r="K88" i="1"/>
  <c r="K56" i="1"/>
  <c r="K76" i="1"/>
  <c r="K82" i="1"/>
  <c r="K180" i="1"/>
  <c r="K114" i="1"/>
  <c r="K22" i="1"/>
  <c r="K128" i="1"/>
  <c r="O128" i="1" s="1"/>
  <c r="K7" i="1"/>
  <c r="K8" i="1"/>
  <c r="K192" i="1"/>
  <c r="K110" i="1"/>
  <c r="K9" i="1"/>
  <c r="K166" i="1"/>
  <c r="K95" i="1"/>
  <c r="K200" i="1"/>
  <c r="O200" i="1" s="1"/>
  <c r="K159" i="1"/>
  <c r="K5" i="1"/>
  <c r="K119" i="1"/>
  <c r="K12" i="1"/>
  <c r="K91" i="1"/>
  <c r="K120" i="1"/>
  <c r="K181" i="1"/>
  <c r="K158" i="1"/>
  <c r="O158" i="1" s="1"/>
  <c r="K132" i="1"/>
  <c r="K157" i="1"/>
  <c r="K17" i="1"/>
  <c r="K89" i="1"/>
  <c r="K57" i="1"/>
  <c r="K135" i="1"/>
  <c r="K162" i="1"/>
  <c r="K26" i="1"/>
  <c r="O26" i="1" s="1"/>
  <c r="K21" i="1"/>
  <c r="K172" i="1"/>
  <c r="K106" i="1"/>
  <c r="K42" i="1"/>
  <c r="K19" i="1"/>
  <c r="K173" i="1"/>
  <c r="K153" i="1"/>
  <c r="K38" i="1"/>
  <c r="O38" i="1" s="1"/>
  <c r="K184" i="1"/>
  <c r="K34" i="1"/>
  <c r="K126" i="1"/>
  <c r="K197" i="1"/>
  <c r="K167" i="1"/>
  <c r="K52" i="1"/>
  <c r="K74" i="1"/>
  <c r="K44" i="1"/>
  <c r="O44" i="1" s="1"/>
  <c r="K187" i="1"/>
  <c r="K170" i="1"/>
  <c r="K108" i="1"/>
  <c r="K68" i="1"/>
  <c r="K20" i="1"/>
  <c r="K41" i="1"/>
  <c r="K112" i="1"/>
  <c r="K37" i="1"/>
  <c r="O37" i="1" s="1"/>
  <c r="K182" i="1"/>
  <c r="K161" i="1"/>
  <c r="K18" i="1"/>
  <c r="K96" i="1"/>
  <c r="K190" i="1"/>
  <c r="K188" i="1"/>
  <c r="K143" i="1"/>
  <c r="K11" i="1"/>
  <c r="O11" i="1" s="1"/>
  <c r="K141" i="1"/>
  <c r="K115" i="1"/>
  <c r="K175" i="1"/>
  <c r="K164" i="1"/>
  <c r="K149" i="1"/>
  <c r="K160" i="1"/>
  <c r="K136" i="1"/>
  <c r="K94" i="1"/>
  <c r="O94" i="1" s="1"/>
  <c r="K147" i="1"/>
  <c r="K67" i="1"/>
  <c r="K60" i="1"/>
  <c r="K183" i="1"/>
  <c r="K198" i="1"/>
  <c r="K199" i="1"/>
  <c r="K189" i="1"/>
  <c r="K28" i="1"/>
  <c r="O28" i="1" s="1"/>
  <c r="K51" i="1"/>
  <c r="K90" i="1"/>
  <c r="K130" i="1"/>
  <c r="K85" i="1"/>
  <c r="K58" i="1"/>
  <c r="K71" i="1"/>
  <c r="K195" i="1"/>
  <c r="K98" i="1"/>
  <c r="O98" i="1" s="1"/>
  <c r="K177" i="1"/>
  <c r="K102" i="1"/>
  <c r="K99" i="1"/>
  <c r="K30" i="1"/>
  <c r="K113" i="1"/>
  <c r="K73" i="1"/>
  <c r="O195" i="1" l="1"/>
  <c r="O112" i="1"/>
  <c r="O181" i="1"/>
  <c r="O46" i="1"/>
  <c r="O63" i="1"/>
  <c r="O151" i="1"/>
  <c r="O53" i="1"/>
  <c r="O71" i="1"/>
  <c r="O41" i="1"/>
  <c r="O135" i="1"/>
  <c r="O146" i="1"/>
  <c r="O80" i="1"/>
  <c r="O155" i="1"/>
  <c r="O163" i="1"/>
  <c r="O85" i="1"/>
  <c r="O96" i="1"/>
  <c r="O89" i="1"/>
  <c r="O110" i="1"/>
  <c r="O81" i="1"/>
  <c r="O100" i="1"/>
  <c r="O48" i="1"/>
  <c r="O78" i="1"/>
  <c r="O102" i="1"/>
  <c r="O90" i="1"/>
  <c r="O67" i="1"/>
  <c r="O115" i="1"/>
  <c r="O161" i="1"/>
  <c r="O170" i="1"/>
  <c r="O34" i="1"/>
  <c r="O172" i="1"/>
  <c r="O157" i="1"/>
  <c r="O5" i="1"/>
  <c r="O8" i="1"/>
  <c r="O56" i="1"/>
  <c r="O152" i="1"/>
  <c r="O125" i="1"/>
  <c r="O134" i="1"/>
  <c r="O40" i="1"/>
  <c r="O174" i="1"/>
  <c r="O185" i="1"/>
  <c r="O165" i="1"/>
  <c r="O72" i="1"/>
  <c r="O171" i="1"/>
  <c r="O33" i="1"/>
  <c r="O103" i="1"/>
  <c r="O101" i="1"/>
  <c r="O13" i="1"/>
  <c r="O189" i="1"/>
  <c r="O74" i="1"/>
  <c r="O95" i="1"/>
  <c r="O59" i="1"/>
  <c r="O54" i="1"/>
  <c r="O178" i="1"/>
  <c r="O199" i="1"/>
  <c r="O52" i="1"/>
  <c r="O166" i="1"/>
  <c r="O114" i="1"/>
  <c r="O116" i="1"/>
  <c r="O69" i="1"/>
  <c r="O137" i="1"/>
  <c r="O30" i="1"/>
  <c r="O183" i="1"/>
  <c r="O68" i="1"/>
  <c r="O42" i="1"/>
  <c r="O12" i="1"/>
  <c r="O50" i="1"/>
  <c r="O66" i="1"/>
  <c r="O55" i="1"/>
  <c r="O145" i="1"/>
  <c r="O107" i="1"/>
  <c r="O168" i="1"/>
  <c r="O177" i="1"/>
  <c r="O51" i="1"/>
  <c r="O147" i="1"/>
  <c r="O141" i="1"/>
  <c r="O182" i="1"/>
  <c r="O187" i="1"/>
  <c r="O184" i="1"/>
  <c r="O21" i="1"/>
  <c r="O132" i="1"/>
  <c r="O159" i="1"/>
  <c r="O7" i="1"/>
  <c r="O88" i="1"/>
  <c r="O14" i="1"/>
  <c r="O150" i="1"/>
  <c r="O62" i="1"/>
  <c r="O169" i="1"/>
  <c r="O25" i="1"/>
  <c r="O70" i="1"/>
  <c r="O24" i="1"/>
  <c r="O123" i="1"/>
  <c r="O129" i="1"/>
  <c r="O109" i="1"/>
  <c r="O186" i="1"/>
  <c r="O142" i="1"/>
  <c r="O111" i="1"/>
  <c r="O143" i="1"/>
  <c r="O162" i="1"/>
  <c r="O47" i="1"/>
  <c r="O43" i="1"/>
  <c r="O35" i="1"/>
  <c r="O160" i="1"/>
  <c r="O173" i="1"/>
  <c r="O124" i="1"/>
  <c r="O148" i="1"/>
  <c r="O23" i="1"/>
  <c r="O113" i="1"/>
  <c r="O58" i="1"/>
  <c r="O198" i="1"/>
  <c r="O149" i="1"/>
  <c r="O190" i="1"/>
  <c r="O20" i="1"/>
  <c r="O167" i="1"/>
  <c r="O19" i="1"/>
  <c r="O57" i="1"/>
  <c r="O91" i="1"/>
  <c r="O9" i="1"/>
  <c r="O180" i="1"/>
  <c r="O193" i="1"/>
  <c r="O84" i="1"/>
  <c r="O27" i="1"/>
  <c r="O77" i="1"/>
  <c r="O127" i="1"/>
  <c r="O75" i="1"/>
  <c r="O104" i="1"/>
  <c r="O176" i="1"/>
  <c r="O191" i="1"/>
  <c r="O3" i="1"/>
  <c r="O6" i="1"/>
  <c r="O121" i="1"/>
  <c r="O16" i="1"/>
  <c r="O136" i="1"/>
  <c r="O153" i="1"/>
  <c r="O22" i="1"/>
  <c r="O194" i="1"/>
  <c r="O87" i="1"/>
  <c r="O179" i="1"/>
  <c r="O73" i="1"/>
  <c r="O188" i="1"/>
  <c r="O120" i="1"/>
  <c r="O117" i="1"/>
  <c r="O138" i="1"/>
  <c r="O45" i="1"/>
  <c r="O164" i="1"/>
  <c r="O197" i="1"/>
  <c r="O82" i="1"/>
  <c r="O2" i="1"/>
  <c r="O10" i="1"/>
  <c r="O36" i="1"/>
  <c r="O99" i="1"/>
  <c r="O130" i="1"/>
  <c r="O60" i="1"/>
  <c r="O175" i="1"/>
  <c r="O18" i="1"/>
  <c r="O108" i="1"/>
  <c r="O126" i="1"/>
  <c r="O106" i="1"/>
  <c r="O17" i="1"/>
  <c r="O119" i="1"/>
  <c r="O192" i="1"/>
  <c r="O76" i="1"/>
  <c r="O31" i="1"/>
  <c r="O118" i="1"/>
  <c r="O61" i="1"/>
  <c r="O105" i="1"/>
  <c r="O154" i="1"/>
  <c r="O79" i="1"/>
  <c r="O140" i="1"/>
  <c r="O4" i="1"/>
  <c r="O97" i="1"/>
  <c r="O83" i="1"/>
  <c r="O133" i="1"/>
  <c r="O86" i="1"/>
  <c r="O131" i="1"/>
</calcChain>
</file>

<file path=xl/sharedStrings.xml><?xml version="1.0" encoding="utf-8"?>
<sst xmlns="http://schemas.openxmlformats.org/spreadsheetml/2006/main" count="1247" uniqueCount="252">
  <si>
    <t>Stage</t>
  </si>
  <si>
    <t>Avg Minutes</t>
  </si>
  <si>
    <t>Order → Collect</t>
  </si>
  <si>
    <t>Collect → Receive</t>
  </si>
  <si>
    <t>Receive → Result</t>
  </si>
  <si>
    <t>Platform</t>
  </si>
  <si>
    <t>Average of Total_TAT_Min</t>
  </si>
  <si>
    <t>Panther</t>
  </si>
  <si>
    <t>BD Max</t>
  </si>
  <si>
    <t>Revogene</t>
  </si>
  <si>
    <t>BioFire</t>
  </si>
  <si>
    <t>Grand Total</t>
  </si>
  <si>
    <t>Location</t>
  </si>
  <si>
    <t>Outpatient Clinic</t>
  </si>
  <si>
    <t>Urgent Care</t>
  </si>
  <si>
    <t>Emergency Department</t>
  </si>
  <si>
    <t>L&amp;D</t>
  </si>
  <si>
    <t>Inpatient</t>
  </si>
  <si>
    <t>ICU</t>
  </si>
  <si>
    <t xml:space="preserve">Shift </t>
  </si>
  <si>
    <t>Evening</t>
  </si>
  <si>
    <t>Night</t>
  </si>
  <si>
    <t>Day</t>
  </si>
  <si>
    <t>Count of Platform</t>
  </si>
  <si>
    <t>Order_ID</t>
  </si>
  <si>
    <t>Test_Name</t>
  </si>
  <si>
    <t>Specimen_Type</t>
  </si>
  <si>
    <t>Order_Time</t>
  </si>
  <si>
    <t>Result_Time</t>
  </si>
  <si>
    <t>Order_to_Collect_Min</t>
  </si>
  <si>
    <t>Collect_to_Receive_Min</t>
  </si>
  <si>
    <t>Receive_to_Result_Min</t>
  </si>
  <si>
    <t>Total_TAT_Min</t>
  </si>
  <si>
    <t>QA_Flag</t>
  </si>
  <si>
    <t>M635541</t>
  </si>
  <si>
    <t>C. difficile PCR</t>
  </si>
  <si>
    <t>Stool</t>
  </si>
  <si>
    <t>M818711</t>
  </si>
  <si>
    <t>CT/NG PCR</t>
  </si>
  <si>
    <t>Urine</t>
  </si>
  <si>
    <t>M715773</t>
  </si>
  <si>
    <t>Group B Strep PCR</t>
  </si>
  <si>
    <t>Vaginal/Rectal Swab</t>
  </si>
  <si>
    <t>M590448</t>
  </si>
  <si>
    <t>M243432</t>
  </si>
  <si>
    <t>M550715</t>
  </si>
  <si>
    <t>Respiratory Panel PCR</t>
  </si>
  <si>
    <t>NP Swab</t>
  </si>
  <si>
    <t>M858488</t>
  </si>
  <si>
    <t>M575549</t>
  </si>
  <si>
    <t>M488981</t>
  </si>
  <si>
    <t>M792806</t>
  </si>
  <si>
    <t>M609572</t>
  </si>
  <si>
    <t>MRSA Screen PCR</t>
  </si>
  <si>
    <t>Swab</t>
  </si>
  <si>
    <t>M845991</t>
  </si>
  <si>
    <t>M165417</t>
  </si>
  <si>
    <t>M177670</t>
  </si>
  <si>
    <t>M830411</t>
  </si>
  <si>
    <t>M611840</t>
  </si>
  <si>
    <t>M843986</t>
  </si>
  <si>
    <t>M330224</t>
  </si>
  <si>
    <t>M935325</t>
  </si>
  <si>
    <t>Blood Culture ID Panel</t>
  </si>
  <si>
    <t>Blood Culture</t>
  </si>
  <si>
    <t>M963854</t>
  </si>
  <si>
    <t>M441364</t>
  </si>
  <si>
    <t>M137070</t>
  </si>
  <si>
    <t>M250668</t>
  </si>
  <si>
    <t>M679120</t>
  </si>
  <si>
    <t>COVID/Flu PCR</t>
  </si>
  <si>
    <t>M691827</t>
  </si>
  <si>
    <t>M354453</t>
  </si>
  <si>
    <t>M996250</t>
  </si>
  <si>
    <t>M515142</t>
  </si>
  <si>
    <t>M851435</t>
  </si>
  <si>
    <t>M923842</t>
  </si>
  <si>
    <t>M232315</t>
  </si>
  <si>
    <t>M871006</t>
  </si>
  <si>
    <t>M161597</t>
  </si>
  <si>
    <t>M160857</t>
  </si>
  <si>
    <t>M696542</t>
  </si>
  <si>
    <t>M320049</t>
  </si>
  <si>
    <t>M192829</t>
  </si>
  <si>
    <t>M935398</t>
  </si>
  <si>
    <t>M914547</t>
  </si>
  <si>
    <t>M182230</t>
  </si>
  <si>
    <t>M217997</t>
  </si>
  <si>
    <t>M520862</t>
  </si>
  <si>
    <t>M718115</t>
  </si>
  <si>
    <t>M381320</t>
  </si>
  <si>
    <t>M990229</t>
  </si>
  <si>
    <t>M432980</t>
  </si>
  <si>
    <t>M994700</t>
  </si>
  <si>
    <t>M137571</t>
  </si>
  <si>
    <t>M850784</t>
  </si>
  <si>
    <t>M575555</t>
  </si>
  <si>
    <t>M957815</t>
  </si>
  <si>
    <t>M209852</t>
  </si>
  <si>
    <t>M942237</t>
  </si>
  <si>
    <t>M571344</t>
  </si>
  <si>
    <t>M567936</t>
  </si>
  <si>
    <t>M789235</t>
  </si>
  <si>
    <t>M857907</t>
  </si>
  <si>
    <t>M572767</t>
  </si>
  <si>
    <t>M493311</t>
  </si>
  <si>
    <t>M118834</t>
  </si>
  <si>
    <t>M673362</t>
  </si>
  <si>
    <t>M616563</t>
  </si>
  <si>
    <t>M937514</t>
  </si>
  <si>
    <t>M816920</t>
  </si>
  <si>
    <t>M826198</t>
  </si>
  <si>
    <t>M752805</t>
  </si>
  <si>
    <t>M357196</t>
  </si>
  <si>
    <t>M561416</t>
  </si>
  <si>
    <t>M139997</t>
  </si>
  <si>
    <t>M227335</t>
  </si>
  <si>
    <t>M377583</t>
  </si>
  <si>
    <t>M361411</t>
  </si>
  <si>
    <t>M648369</t>
  </si>
  <si>
    <t>M558361</t>
  </si>
  <si>
    <t>M476625</t>
  </si>
  <si>
    <t>M949600</t>
  </si>
  <si>
    <t>M827107</t>
  </si>
  <si>
    <t>M163398</t>
  </si>
  <si>
    <t>M472805</t>
  </si>
  <si>
    <t>M304512</t>
  </si>
  <si>
    <t>M266963</t>
  </si>
  <si>
    <t>M668128</t>
  </si>
  <si>
    <t>M801885</t>
  </si>
  <si>
    <t>M514076</t>
  </si>
  <si>
    <t>M185431</t>
  </si>
  <si>
    <t>M979087</t>
  </si>
  <si>
    <t>M530978</t>
  </si>
  <si>
    <t>M107037</t>
  </si>
  <si>
    <t>M123236</t>
  </si>
  <si>
    <t>M650704</t>
  </si>
  <si>
    <t>M856344</t>
  </si>
  <si>
    <t>M771943</t>
  </si>
  <si>
    <t>M760326</t>
  </si>
  <si>
    <t>M120611</t>
  </si>
  <si>
    <t>M136497</t>
  </si>
  <si>
    <t>M925114</t>
  </si>
  <si>
    <t>M130342</t>
  </si>
  <si>
    <t>M782261</t>
  </si>
  <si>
    <t>M304747</t>
  </si>
  <si>
    <t>M719120</t>
  </si>
  <si>
    <t>M866086</t>
  </si>
  <si>
    <t>M102869</t>
  </si>
  <si>
    <t>M855103</t>
  </si>
  <si>
    <t>M687906</t>
  </si>
  <si>
    <t>M717986</t>
  </si>
  <si>
    <t>M457691</t>
  </si>
  <si>
    <t>M649760</t>
  </si>
  <si>
    <t>M714775</t>
  </si>
  <si>
    <t>M820188</t>
  </si>
  <si>
    <t>M903104</t>
  </si>
  <si>
    <t>M104586</t>
  </si>
  <si>
    <t>M666459</t>
  </si>
  <si>
    <t>M778378</t>
  </si>
  <si>
    <t>M497056</t>
  </si>
  <si>
    <t>M845605</t>
  </si>
  <si>
    <t>M947794</t>
  </si>
  <si>
    <t>M171562</t>
  </si>
  <si>
    <t>M842470</t>
  </si>
  <si>
    <t>M491090</t>
  </si>
  <si>
    <t>M961170</t>
  </si>
  <si>
    <t>M725014</t>
  </si>
  <si>
    <t>M771108</t>
  </si>
  <si>
    <t>M658753</t>
  </si>
  <si>
    <t>M549117</t>
  </si>
  <si>
    <t>M310631</t>
  </si>
  <si>
    <t>M189360</t>
  </si>
  <si>
    <t>M829358</t>
  </si>
  <si>
    <t>M992553</t>
  </si>
  <si>
    <t>M255803</t>
  </si>
  <si>
    <t>M681478</t>
  </si>
  <si>
    <t>M546383</t>
  </si>
  <si>
    <t>M938791</t>
  </si>
  <si>
    <t>M836333</t>
  </si>
  <si>
    <t>M286561</t>
  </si>
  <si>
    <t>M311758</t>
  </si>
  <si>
    <t>M609857</t>
  </si>
  <si>
    <t>M397366</t>
  </si>
  <si>
    <t>M688833</t>
  </si>
  <si>
    <t>M397815</t>
  </si>
  <si>
    <t>M308912</t>
  </si>
  <si>
    <t>M488917</t>
  </si>
  <si>
    <t>M221232</t>
  </si>
  <si>
    <t>M268925</t>
  </si>
  <si>
    <t>M265011</t>
  </si>
  <si>
    <t>M217486</t>
  </si>
  <si>
    <t>M319722</t>
  </si>
  <si>
    <t>M584425</t>
  </si>
  <si>
    <t>M219120</t>
  </si>
  <si>
    <t>M157315</t>
  </si>
  <si>
    <t>M711518</t>
  </si>
  <si>
    <t>M630468</t>
  </si>
  <si>
    <t>M131538</t>
  </si>
  <si>
    <t>M578697</t>
  </si>
  <si>
    <t>M447751</t>
  </si>
  <si>
    <t>M653740</t>
  </si>
  <si>
    <t>M334379</t>
  </si>
  <si>
    <t>M144169</t>
  </si>
  <si>
    <t>M593501</t>
  </si>
  <si>
    <t>M554961</t>
  </si>
  <si>
    <t>M284935</t>
  </si>
  <si>
    <t>M107428</t>
  </si>
  <si>
    <t>M779591</t>
  </si>
  <si>
    <t>M716810</t>
  </si>
  <si>
    <t>M682034</t>
  </si>
  <si>
    <t>M941000</t>
  </si>
  <si>
    <t>M314511</t>
  </si>
  <si>
    <t>M407419</t>
  </si>
  <si>
    <t>M146218</t>
  </si>
  <si>
    <t>M609268</t>
  </si>
  <si>
    <t>M993308</t>
  </si>
  <si>
    <t>M187122</t>
  </si>
  <si>
    <t>M218812</t>
  </si>
  <si>
    <t>M231169</t>
  </si>
  <si>
    <t>M410628</t>
  </si>
  <si>
    <t>M420125</t>
  </si>
  <si>
    <t>M260481</t>
  </si>
  <si>
    <t>M438202</t>
  </si>
  <si>
    <t>M361329</t>
  </si>
  <si>
    <t>M244321</t>
  </si>
  <si>
    <t>M931953</t>
  </si>
  <si>
    <t>M499841</t>
  </si>
  <si>
    <t>M234108</t>
  </si>
  <si>
    <t>M507209</t>
  </si>
  <si>
    <t>M120456</t>
  </si>
  <si>
    <t>M114195</t>
  </si>
  <si>
    <t>M556262</t>
  </si>
  <si>
    <t>M468377</t>
  </si>
  <si>
    <t>M613392</t>
  </si>
  <si>
    <t>M260756</t>
  </si>
  <si>
    <t>M519363</t>
  </si>
  <si>
    <t>M222158</t>
  </si>
  <si>
    <t>M530103</t>
  </si>
  <si>
    <t>M384923</t>
  </si>
  <si>
    <t>M479454</t>
  </si>
  <si>
    <t>M362104</t>
  </si>
  <si>
    <t>M232541</t>
  </si>
  <si>
    <t>M741044</t>
  </si>
  <si>
    <t>M157370</t>
  </si>
  <si>
    <t>M261815</t>
  </si>
  <si>
    <t>Collected_Time</t>
  </si>
  <si>
    <t>Received_Time</t>
  </si>
  <si>
    <t>Shift</t>
  </si>
  <si>
    <t>Max of Total_TAT_Min</t>
  </si>
  <si>
    <t>Count of Total_TAT_Min</t>
  </si>
  <si>
    <t>Median of Total_TAT_Min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</si>
</sst>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5" x14ac:knownFonts="1">
    <font>
      <sz val="11"/>
      <color theme="1"/>
      <name val="Calibri"/>
      <family val="2"/>
      <scheme val="minor"/>
    </font>
    <font>
      <b/>
      <sz val="18"/>
      <color rgb="FF000000"/>
      <name val="Calibri"/>
      <scheme val="minor"/>
    </font>
    <font>
      <sz val="18"/>
      <color theme="1"/>
      <name val="Calibri"/>
      <family val="2"/>
      <scheme val="minor"/>
    </font>
    <font>
      <sz val="22"/>
      <color theme="1"/>
      <name val="Calibri"/>
      <family val="2"/>
      <scheme val="minor"/>
    </font>
    <font>
      <b/>
      <sz val="22"/>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164" fontId="0" fillId="0" borderId="0" xfId="0" applyNumberFormat="1"/>
    <xf numFmtId="1" fontId="0" fillId="0" borderId="0" xfId="0" applyNumberFormat="1"/>
    <xf numFmtId="0" fontId="0" fillId="0" borderId="0" xfId="0" pivotButton="1"/>
    <xf numFmtId="0" fontId="1" fillId="0" borderId="0" xfId="0" applyFont="1" applyAlignment="1">
      <alignment wrapText="1"/>
    </xf>
    <xf numFmtId="0" fontId="2" fillId="0" borderId="0" xfId="0" applyFont="1"/>
    <xf numFmtId="0" fontId="0" fillId="0" borderId="0" xfId="0" applyNumberFormat="1"/>
    <xf numFmtId="0" fontId="3" fillId="0" borderId="0" xfId="0" applyFont="1"/>
    <xf numFmtId="1" fontId="3" fillId="0" borderId="0" xfId="0" applyNumberFormat="1" applyFont="1"/>
    <xf numFmtId="0" fontId="3" fillId="0" borderId="0" xfId="0" applyNumberFormat="1" applyFont="1"/>
    <xf numFmtId="0" fontId="3" fillId="0" borderId="0" xfId="0" quotePrefix="1" applyFont="1"/>
    <xf numFmtId="0" fontId="4" fillId="2" borderId="0" xfId="0" applyFont="1" applyFill="1"/>
  </cellXfs>
  <cellStyles count="1">
    <cellStyle name="Normal" xfId="0" builtinId="0"/>
  </cellStyles>
  <dxfs count="21">
    <dxf>
      <font>
        <sz val="22"/>
      </font>
    </dxf>
    <dxf>
      <font>
        <sz val="22"/>
      </font>
    </dxf>
    <dxf>
      <font>
        <sz val="22"/>
      </font>
    </dxf>
    <dxf>
      <numFmt numFmtId="1" formatCode="0"/>
    </dxf>
    <dxf>
      <numFmt numFmtId="1" formatCode="0"/>
    </dxf>
    <dxf>
      <numFmt numFmtId="1" formatCode="0"/>
    </dxf>
    <dxf>
      <numFmt numFmtId="1" formatCode="0"/>
    </dxf>
    <dxf>
      <numFmt numFmtId="164" formatCode="m/d/yy\ h:mm;@"/>
    </dxf>
    <dxf>
      <numFmt numFmtId="164" formatCode="m/d/yy\ h:mm;@"/>
    </dxf>
    <dxf>
      <numFmt numFmtId="164" formatCode="m/d/yy\ h:mm;@"/>
    </dxf>
    <dxf>
      <numFmt numFmtId="164" formatCode="m/d/yy\ h:mm;@"/>
    </dxf>
    <dxf>
      <alignment horizontal="general" vertical="bottom" textRotation="0" wrapText="1" indent="0" justifyLastLine="0" shrinkToFit="0" readingOrder="0"/>
    </dxf>
    <dxf>
      <numFmt numFmtId="1" formatCode="0"/>
    </dxf>
    <dxf>
      <numFmt numFmtId="1" formatCode="0"/>
    </dxf>
    <dxf>
      <numFmt numFmtId="1" formatCode="0"/>
    </dxf>
    <dxf>
      <numFmt numFmtId="1" formatCode="0"/>
    </dxf>
    <dxf>
      <numFmt numFmtId="164" formatCode="m/d/yy\ h:mm;@"/>
    </dxf>
    <dxf>
      <numFmt numFmtId="164" formatCode="m/d/yy\ h:mm;@"/>
    </dxf>
    <dxf>
      <numFmt numFmtId="164" formatCode="m/d/yy\ h:mm;@"/>
    </dxf>
    <dxf>
      <numFmt numFmtId="164" formatCode="m/d/yy\ h:mm;@"/>
    </dxf>
    <dxf>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Molecular Testing Workflow Turnaround Time Breakdown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85541666666666"/>
          <c:y val="8.1662356113602619E-2"/>
          <c:w val="0.86192236111111109"/>
          <c:h val="0.79011333503936843"/>
        </c:manualLayout>
      </c:layout>
      <c:barChart>
        <c:barDir val="col"/>
        <c:grouping val="clustered"/>
        <c:varyColors val="0"/>
        <c:ser>
          <c:idx val="0"/>
          <c:order val="0"/>
          <c:tx>
            <c:strRef>
              <c:f>Workflow_TAT_Breakdown!$B$1</c:f>
              <c:strCache>
                <c:ptCount val="1"/>
                <c:pt idx="0">
                  <c:v>Avg Minutes</c:v>
                </c:pt>
              </c:strCache>
            </c:strRef>
          </c:tx>
          <c:spPr>
            <a:solidFill>
              <a:srgbClr val="4472C4"/>
            </a:solidFill>
            <a:ln>
              <a:noFill/>
            </a:ln>
            <a:effectLst/>
          </c:spPr>
          <c:invertIfNegative val="0"/>
          <c:cat>
            <c:strRef>
              <c:f>Workflow_TAT_Breakdown!$A$2:$A$4</c:f>
              <c:strCache>
                <c:ptCount val="3"/>
                <c:pt idx="0">
                  <c:v>Order → Collect</c:v>
                </c:pt>
                <c:pt idx="1">
                  <c:v>Collect → Receive</c:v>
                </c:pt>
                <c:pt idx="2">
                  <c:v>Receive → Result</c:v>
                </c:pt>
              </c:strCache>
            </c:strRef>
          </c:cat>
          <c:val>
            <c:numRef>
              <c:f>Workflow_TAT_Breakdown!$B$2:$B$4</c:f>
              <c:numCache>
                <c:formatCode>General</c:formatCode>
                <c:ptCount val="3"/>
                <c:pt idx="0">
                  <c:v>17.8</c:v>
                </c:pt>
                <c:pt idx="1">
                  <c:v>17.399999999999999</c:v>
                </c:pt>
                <c:pt idx="2">
                  <c:v>166.9</c:v>
                </c:pt>
              </c:numCache>
            </c:numRef>
          </c:val>
          <c:extLst>
            <c:ext xmlns:c16="http://schemas.microsoft.com/office/drawing/2014/chart" uri="{C3380CC4-5D6E-409C-BE32-E72D297353CC}">
              <c16:uniqueId val="{00000000-C774-4E10-9866-0D18DBCC6C9A}"/>
            </c:ext>
          </c:extLst>
        </c:ser>
        <c:dLbls>
          <c:showLegendKey val="0"/>
          <c:showVal val="0"/>
          <c:showCatName val="0"/>
          <c:showSerName val="0"/>
          <c:showPercent val="0"/>
          <c:showBubbleSize val="0"/>
        </c:dLbls>
        <c:gapWidth val="219"/>
        <c:overlap val="-27"/>
        <c:axId val="1458913799"/>
        <c:axId val="1458922503"/>
      </c:barChart>
      <c:catAx>
        <c:axId val="145891379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Workflow Stage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22503"/>
        <c:crosses val="autoZero"/>
        <c:auto val="1"/>
        <c:lblAlgn val="ctr"/>
        <c:lblOffset val="100"/>
        <c:noMultiLvlLbl val="0"/>
      </c:catAx>
      <c:valAx>
        <c:axId val="1458922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Minutes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13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[Molecular_TAT_Dashboard.xlsx]Pivot_TAT_By_Platform!PivotTable1</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 Molecular Test Turnaround Time by Platform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AD47"/>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AD47"/>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Pivot_TAT_By_Platform!$B$1</c:f>
              <c:strCache>
                <c:ptCount val="1"/>
                <c:pt idx="0">
                  <c:v>Total</c:v>
                </c:pt>
              </c:strCache>
            </c:strRef>
          </c:tx>
          <c:spPr>
            <a:solidFill>
              <a:srgbClr val="4472C4"/>
            </a:solidFill>
            <a:ln>
              <a:solidFill>
                <a:srgbClr val="4472C4"/>
              </a:solidFill>
              <a:prstDash val="solid"/>
            </a:ln>
            <a:effectLst/>
          </c:spPr>
          <c:invertIfNegative val="0"/>
          <c:cat>
            <c:strRef>
              <c:f>Pivot_TAT_By_Platform!$A$2:$A$6</c:f>
              <c:strCache>
                <c:ptCount val="4"/>
                <c:pt idx="0">
                  <c:v>Panther</c:v>
                </c:pt>
                <c:pt idx="1">
                  <c:v>BD Max</c:v>
                </c:pt>
                <c:pt idx="2">
                  <c:v>Revogene</c:v>
                </c:pt>
                <c:pt idx="3">
                  <c:v>BioFire</c:v>
                </c:pt>
              </c:strCache>
            </c:strRef>
          </c:cat>
          <c:val>
            <c:numRef>
              <c:f>Pivot_TAT_By_Platform!$B$2:$B$6</c:f>
              <c:numCache>
                <c:formatCode>0</c:formatCode>
                <c:ptCount val="4"/>
                <c:pt idx="0">
                  <c:v>365.25641025661923</c:v>
                </c:pt>
                <c:pt idx="1">
                  <c:v>220.06122449058944</c:v>
                </c:pt>
                <c:pt idx="2">
                  <c:v>154.23188405901033</c:v>
                </c:pt>
                <c:pt idx="3">
                  <c:v>108.33333333272354</c:v>
                </c:pt>
              </c:numCache>
            </c:numRef>
          </c:val>
          <c:extLst>
            <c:ext xmlns:c16="http://schemas.microsoft.com/office/drawing/2014/chart" uri="{C3380CC4-5D6E-409C-BE32-E72D297353CC}">
              <c16:uniqueId val="{00000000-FC20-46FD-AF75-6573009F338D}"/>
            </c:ext>
          </c:extLst>
        </c:ser>
        <c:dLbls>
          <c:showLegendKey val="0"/>
          <c:showVal val="0"/>
          <c:showCatName val="0"/>
          <c:showSerName val="0"/>
          <c:showPercent val="0"/>
          <c:showBubbleSize val="0"/>
        </c:dLbls>
        <c:gapWidth val="219"/>
        <c:overlap val="-27"/>
        <c:axId val="1371407879"/>
        <c:axId val="1371409927"/>
      </c:barChart>
      <c:catAx>
        <c:axId val="137140787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Testing Platform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71409927"/>
        <c:crosses val="autoZero"/>
        <c:auto val="1"/>
        <c:lblAlgn val="ctr"/>
        <c:lblOffset val="100"/>
        <c:noMultiLvlLbl val="0"/>
      </c:catAx>
      <c:valAx>
        <c:axId val="1371409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TAT (Minutes)</a:t>
                </a:r>
              </a:p>
            </c:rich>
          </c:tx>
          <c:layout>
            <c:manualLayout>
              <c:xMode val="edge"/>
              <c:yMode val="edge"/>
              <c:x val="1.6318983793811814E-2"/>
              <c:y val="0.39037020202020201"/>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a:ea typeface="Calibri"/>
                <a:cs typeface="Calibri"/>
              </a:defRPr>
            </a:pPr>
            <a:endParaRPr lang="en-US"/>
          </a:p>
        </c:txPr>
        <c:crossAx val="1371407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[Molecular_TAT_Dashboard.xlsx]Pivot_TAT_By_Location!PivotTable1</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 Molecular Testing Turnaround Time by Location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Pivot_TAT_By_Location!$B$1</c:f>
              <c:strCache>
                <c:ptCount val="1"/>
                <c:pt idx="0">
                  <c:v>Total</c:v>
                </c:pt>
              </c:strCache>
            </c:strRef>
          </c:tx>
          <c:spPr>
            <a:solidFill>
              <a:schemeClr val="accent1"/>
            </a:solidFill>
            <a:ln>
              <a:noFill/>
            </a:ln>
            <a:effectLst/>
          </c:spPr>
          <c:invertIfNegative val="0"/>
          <c:cat>
            <c:strRef>
              <c:f>Pivot_TAT_By_Location!$A$2:$A$8</c:f>
              <c:strCache>
                <c:ptCount val="6"/>
                <c:pt idx="0">
                  <c:v>Outpatient Clinic</c:v>
                </c:pt>
                <c:pt idx="1">
                  <c:v>Urgent Care</c:v>
                </c:pt>
                <c:pt idx="2">
                  <c:v>Emergency Department</c:v>
                </c:pt>
                <c:pt idx="3">
                  <c:v>L&amp;D</c:v>
                </c:pt>
                <c:pt idx="4">
                  <c:v>Inpatient</c:v>
                </c:pt>
                <c:pt idx="5">
                  <c:v>ICU</c:v>
                </c:pt>
              </c:strCache>
            </c:strRef>
          </c:cat>
          <c:val>
            <c:numRef>
              <c:f>Pivot_TAT_By_Location!$B$2:$B$8</c:f>
              <c:numCache>
                <c:formatCode>0</c:formatCode>
                <c:ptCount val="6"/>
                <c:pt idx="0">
                  <c:v>267.46666666702367</c:v>
                </c:pt>
                <c:pt idx="1">
                  <c:v>260.12195122002328</c:v>
                </c:pt>
                <c:pt idx="2">
                  <c:v>190.84210526430979</c:v>
                </c:pt>
                <c:pt idx="3">
                  <c:v>154.78947368364683</c:v>
                </c:pt>
                <c:pt idx="4">
                  <c:v>154.42553191557229</c:v>
                </c:pt>
                <c:pt idx="5">
                  <c:v>131.92857142903708</c:v>
                </c:pt>
              </c:numCache>
            </c:numRef>
          </c:val>
          <c:extLst>
            <c:ext xmlns:c16="http://schemas.microsoft.com/office/drawing/2014/chart" uri="{C3380CC4-5D6E-409C-BE32-E72D297353CC}">
              <c16:uniqueId val="{00000000-1814-464D-9BD2-C851D4404476}"/>
            </c:ext>
          </c:extLst>
        </c:ser>
        <c:dLbls>
          <c:showLegendKey val="0"/>
          <c:showVal val="0"/>
          <c:showCatName val="0"/>
          <c:showSerName val="0"/>
          <c:showPercent val="0"/>
          <c:showBubbleSize val="0"/>
        </c:dLbls>
        <c:gapWidth val="219"/>
        <c:overlap val="-27"/>
        <c:axId val="1338050568"/>
        <c:axId val="1338064904"/>
      </c:barChart>
      <c:catAx>
        <c:axId val="1338050568"/>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Locations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8064904"/>
        <c:crosses val="autoZero"/>
        <c:auto val="1"/>
        <c:lblAlgn val="ctr"/>
        <c:lblOffset val="100"/>
        <c:noMultiLvlLbl val="0"/>
      </c:catAx>
      <c:valAx>
        <c:axId val="1338064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TAT (Minutes)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50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[Molecular_TAT_Dashboard.xlsx]Pivot_TAT_By_Shift!PivotTable1</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 Molecular Test Turnaround Time by Shift</a:t>
            </a:r>
          </a:p>
        </c:rich>
      </c:tx>
      <c:layout>
        <c:manualLayout>
          <c:xMode val="edge"/>
          <c:yMode val="edge"/>
          <c:x val="0.17379171129588628"/>
          <c:y val="1.673202752155030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Pivot_TAT_By_Shift!$B$1</c:f>
              <c:strCache>
                <c:ptCount val="1"/>
                <c:pt idx="0">
                  <c:v>Total</c:v>
                </c:pt>
              </c:strCache>
            </c:strRef>
          </c:tx>
          <c:spPr>
            <a:solidFill>
              <a:srgbClr val="4472C4"/>
            </a:solidFill>
            <a:ln>
              <a:solidFill>
                <a:srgbClr val="4472C4"/>
              </a:solidFill>
              <a:prstDash val="solid"/>
            </a:ln>
            <a:effectLst/>
          </c:spPr>
          <c:invertIfNegative val="0"/>
          <c:cat>
            <c:strRef>
              <c:f>Pivot_TAT_By_Shift!$A$2:$A$5</c:f>
              <c:strCache>
                <c:ptCount val="3"/>
                <c:pt idx="0">
                  <c:v>Evening</c:v>
                </c:pt>
                <c:pt idx="1">
                  <c:v>Night</c:v>
                </c:pt>
                <c:pt idx="2">
                  <c:v>Day</c:v>
                </c:pt>
              </c:strCache>
            </c:strRef>
          </c:cat>
          <c:val>
            <c:numRef>
              <c:f>Pivot_TAT_By_Shift!$B$2:$B$5</c:f>
              <c:numCache>
                <c:formatCode>0</c:formatCode>
                <c:ptCount val="3"/>
                <c:pt idx="0">
                  <c:v>210.64285714270747</c:v>
                </c:pt>
                <c:pt idx="1">
                  <c:v>204.15384615601326</c:v>
                </c:pt>
                <c:pt idx="2">
                  <c:v>194.82352941252483</c:v>
                </c:pt>
              </c:numCache>
            </c:numRef>
          </c:val>
          <c:extLst>
            <c:ext xmlns:c16="http://schemas.microsoft.com/office/drawing/2014/chart" uri="{C3380CC4-5D6E-409C-BE32-E72D297353CC}">
              <c16:uniqueId val="{00000000-85AA-4E10-A046-854DC27D993B}"/>
            </c:ext>
          </c:extLst>
        </c:ser>
        <c:dLbls>
          <c:showLegendKey val="0"/>
          <c:showVal val="0"/>
          <c:showCatName val="0"/>
          <c:showSerName val="0"/>
          <c:showPercent val="0"/>
          <c:showBubbleSize val="0"/>
        </c:dLbls>
        <c:gapWidth val="219"/>
        <c:overlap val="-27"/>
        <c:axId val="1151992327"/>
        <c:axId val="1371427335"/>
      </c:barChart>
      <c:catAx>
        <c:axId val="11519923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Shift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71427335"/>
        <c:crosses val="autoZero"/>
        <c:auto val="1"/>
        <c:lblAlgn val="ctr"/>
        <c:lblOffset val="100"/>
        <c:noMultiLvlLbl val="0"/>
      </c:catAx>
      <c:valAx>
        <c:axId val="1371427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TAT (Minutes)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92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[Molecular_TAT_Dashboard.xlsx]Pivot_Test_Volume_By_Platform!PivotTable1</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 Molecular Volume By Platform</a:t>
            </a:r>
          </a:p>
        </c:rich>
      </c:tx>
      <c:layout>
        <c:manualLayout>
          <c:xMode val="edge"/>
          <c:yMode val="edge"/>
          <c:x val="0.28345277828439897"/>
          <c:y val="2.222227690288713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Pivot_Test_Volume_By_Platform!$B$1</c:f>
              <c:strCache>
                <c:ptCount val="1"/>
                <c:pt idx="0">
                  <c:v>Total</c:v>
                </c:pt>
              </c:strCache>
            </c:strRef>
          </c:tx>
          <c:spPr>
            <a:solidFill>
              <a:srgbClr val="4472C4"/>
            </a:solidFill>
            <a:ln>
              <a:solidFill>
                <a:srgbClr val="4472C4"/>
              </a:solidFill>
              <a:prstDash val="solid"/>
            </a:ln>
            <a:effectLst/>
          </c:spPr>
          <c:invertIfNegative val="0"/>
          <c:cat>
            <c:strRef>
              <c:f>Pivot_Test_Volume_By_Platform!$A$2:$A$6</c:f>
              <c:strCache>
                <c:ptCount val="4"/>
                <c:pt idx="0">
                  <c:v>Revogene</c:v>
                </c:pt>
                <c:pt idx="1">
                  <c:v>BD Max</c:v>
                </c:pt>
                <c:pt idx="2">
                  <c:v>BioFire</c:v>
                </c:pt>
                <c:pt idx="3">
                  <c:v>Panther</c:v>
                </c:pt>
              </c:strCache>
            </c:strRef>
          </c:cat>
          <c:val>
            <c:numRef>
              <c:f>Pivot_Test_Volume_By_Platform!$B$2:$B$6</c:f>
              <c:numCache>
                <c:formatCode>General</c:formatCode>
                <c:ptCount val="4"/>
                <c:pt idx="0">
                  <c:v>69</c:v>
                </c:pt>
                <c:pt idx="1">
                  <c:v>49</c:v>
                </c:pt>
                <c:pt idx="2">
                  <c:v>42</c:v>
                </c:pt>
                <c:pt idx="3">
                  <c:v>39</c:v>
                </c:pt>
              </c:numCache>
            </c:numRef>
          </c:val>
          <c:extLst>
            <c:ext xmlns:c16="http://schemas.microsoft.com/office/drawing/2014/chart" uri="{C3380CC4-5D6E-409C-BE32-E72D297353CC}">
              <c16:uniqueId val="{00000000-D13F-489D-AE79-8D20456CA99A}"/>
            </c:ext>
          </c:extLst>
        </c:ser>
        <c:dLbls>
          <c:showLegendKey val="0"/>
          <c:showVal val="0"/>
          <c:showCatName val="0"/>
          <c:showSerName val="0"/>
          <c:showPercent val="0"/>
          <c:showBubbleSize val="0"/>
        </c:dLbls>
        <c:gapWidth val="219"/>
        <c:overlap val="-27"/>
        <c:axId val="1402511367"/>
        <c:axId val="1402513927"/>
      </c:barChart>
      <c:catAx>
        <c:axId val="14025113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Platform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02513927"/>
        <c:crosses val="autoZero"/>
        <c:auto val="1"/>
        <c:lblAlgn val="ctr"/>
        <c:lblOffset val="100"/>
        <c:noMultiLvlLbl val="0"/>
      </c:catAx>
      <c:valAx>
        <c:axId val="1402513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Test Volume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11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Molecular Testing Workflow Turnaround Time Breakdown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Workflow_TAT_Breakdown!$B$1</c:f>
              <c:strCache>
                <c:ptCount val="1"/>
                <c:pt idx="0">
                  <c:v>Avg Minutes</c:v>
                </c:pt>
              </c:strCache>
            </c:strRef>
          </c:tx>
          <c:spPr>
            <a:solidFill>
              <a:srgbClr val="4472C4"/>
            </a:solidFill>
            <a:ln>
              <a:noFill/>
            </a:ln>
            <a:effectLst/>
          </c:spPr>
          <c:invertIfNegative val="0"/>
          <c:cat>
            <c:strRef>
              <c:f>Workflow_TAT_Breakdown!$A$2:$A$4</c:f>
              <c:strCache>
                <c:ptCount val="3"/>
                <c:pt idx="0">
                  <c:v>Order → Collect</c:v>
                </c:pt>
                <c:pt idx="1">
                  <c:v>Collect → Receive</c:v>
                </c:pt>
                <c:pt idx="2">
                  <c:v>Receive → Result</c:v>
                </c:pt>
              </c:strCache>
            </c:strRef>
          </c:cat>
          <c:val>
            <c:numRef>
              <c:f>Workflow_TAT_Breakdown!$B$2:$B$4</c:f>
              <c:numCache>
                <c:formatCode>General</c:formatCode>
                <c:ptCount val="3"/>
                <c:pt idx="0">
                  <c:v>17.8</c:v>
                </c:pt>
                <c:pt idx="1">
                  <c:v>17.399999999999999</c:v>
                </c:pt>
                <c:pt idx="2">
                  <c:v>166.9</c:v>
                </c:pt>
              </c:numCache>
            </c:numRef>
          </c:val>
          <c:extLst>
            <c:ext xmlns:c16="http://schemas.microsoft.com/office/drawing/2014/chart" uri="{C3380CC4-5D6E-409C-BE32-E72D297353CC}">
              <c16:uniqueId val="{00000000-35F8-4854-95AE-F3CAD4E9DB7B}"/>
            </c:ext>
          </c:extLst>
        </c:ser>
        <c:dLbls>
          <c:showLegendKey val="0"/>
          <c:showVal val="0"/>
          <c:showCatName val="0"/>
          <c:showSerName val="0"/>
          <c:showPercent val="0"/>
          <c:showBubbleSize val="0"/>
        </c:dLbls>
        <c:gapWidth val="219"/>
        <c:overlap val="-27"/>
        <c:axId val="1458913799"/>
        <c:axId val="1458922503"/>
      </c:barChart>
      <c:catAx>
        <c:axId val="1458913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Workflow Stage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22503"/>
        <c:crosses val="autoZero"/>
        <c:auto val="1"/>
        <c:lblAlgn val="ctr"/>
        <c:lblOffset val="100"/>
        <c:noMultiLvlLbl val="0"/>
      </c:catAx>
      <c:valAx>
        <c:axId val="1458922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13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[Molecular_TAT_Dashboard.xlsx]Pivot_TAT_By_Platform!PivotTable1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Average Molecular Test Turnaround Time by Platform</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Pivot_TAT_By_Platform!$B$1</c:f>
              <c:strCache>
                <c:ptCount val="1"/>
                <c:pt idx="0">
                  <c:v>Total</c:v>
                </c:pt>
              </c:strCache>
            </c:strRef>
          </c:tx>
          <c:spPr>
            <a:solidFill>
              <a:srgbClr val="4472C4"/>
            </a:solidFill>
            <a:ln>
              <a:solidFill>
                <a:srgbClr val="4472C4"/>
              </a:solidFill>
              <a:prstDash val="solid"/>
            </a:ln>
            <a:effectLst/>
          </c:spPr>
          <c:invertIfNegative val="0"/>
          <c:cat>
            <c:strRef>
              <c:f>Pivot_TAT_By_Platform!$A$2:$A$6</c:f>
              <c:strCache>
                <c:ptCount val="4"/>
                <c:pt idx="0">
                  <c:v>Panther</c:v>
                </c:pt>
                <c:pt idx="1">
                  <c:v>BD Max</c:v>
                </c:pt>
                <c:pt idx="2">
                  <c:v>Revogene</c:v>
                </c:pt>
                <c:pt idx="3">
                  <c:v>BioFire</c:v>
                </c:pt>
              </c:strCache>
            </c:strRef>
          </c:cat>
          <c:val>
            <c:numRef>
              <c:f>Pivot_TAT_By_Platform!$B$2:$B$6</c:f>
              <c:numCache>
                <c:formatCode>0</c:formatCode>
                <c:ptCount val="4"/>
                <c:pt idx="0">
                  <c:v>365.25641025661923</c:v>
                </c:pt>
                <c:pt idx="1">
                  <c:v>220.06122449058944</c:v>
                </c:pt>
                <c:pt idx="2">
                  <c:v>154.23188405901033</c:v>
                </c:pt>
                <c:pt idx="3">
                  <c:v>108.33333333272354</c:v>
                </c:pt>
              </c:numCache>
            </c:numRef>
          </c:val>
          <c:extLst>
            <c:ext xmlns:c16="http://schemas.microsoft.com/office/drawing/2014/chart" uri="{C3380CC4-5D6E-409C-BE32-E72D297353CC}">
              <c16:uniqueId val="{00000000-A48E-4B78-8272-0605D3B0D910}"/>
            </c:ext>
          </c:extLst>
        </c:ser>
        <c:dLbls>
          <c:showLegendKey val="0"/>
          <c:showVal val="0"/>
          <c:showCatName val="0"/>
          <c:showSerName val="0"/>
          <c:showPercent val="0"/>
          <c:showBubbleSize val="0"/>
        </c:dLbls>
        <c:gapWidth val="219"/>
        <c:overlap val="-27"/>
        <c:axId val="1371407879"/>
        <c:axId val="1371409927"/>
      </c:barChart>
      <c:catAx>
        <c:axId val="1371407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Testing 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09927"/>
        <c:crosses val="autoZero"/>
        <c:auto val="1"/>
        <c:lblAlgn val="ctr"/>
        <c:lblOffset val="100"/>
        <c:noMultiLvlLbl val="0"/>
      </c:catAx>
      <c:valAx>
        <c:axId val="1371409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TAT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1371407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[Molecular_TAT_Dashboard.xlsx]Pivot_TAT_By_Location!PivotTable1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Average Molecular Testing Turnaround Time by Location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Pivot_TAT_By_Location!$B$1</c:f>
              <c:strCache>
                <c:ptCount val="1"/>
                <c:pt idx="0">
                  <c:v>Total</c:v>
                </c:pt>
              </c:strCache>
            </c:strRef>
          </c:tx>
          <c:spPr>
            <a:solidFill>
              <a:schemeClr val="accent1"/>
            </a:solidFill>
            <a:ln>
              <a:noFill/>
            </a:ln>
            <a:effectLst/>
          </c:spPr>
          <c:invertIfNegative val="0"/>
          <c:cat>
            <c:strRef>
              <c:f>Pivot_TAT_By_Location!$A$2:$A$8</c:f>
              <c:strCache>
                <c:ptCount val="6"/>
                <c:pt idx="0">
                  <c:v>Outpatient Clinic</c:v>
                </c:pt>
                <c:pt idx="1">
                  <c:v>Urgent Care</c:v>
                </c:pt>
                <c:pt idx="2">
                  <c:v>Emergency Department</c:v>
                </c:pt>
                <c:pt idx="3">
                  <c:v>L&amp;D</c:v>
                </c:pt>
                <c:pt idx="4">
                  <c:v>Inpatient</c:v>
                </c:pt>
                <c:pt idx="5">
                  <c:v>ICU</c:v>
                </c:pt>
              </c:strCache>
            </c:strRef>
          </c:cat>
          <c:val>
            <c:numRef>
              <c:f>Pivot_TAT_By_Location!$B$2:$B$8</c:f>
              <c:numCache>
                <c:formatCode>0</c:formatCode>
                <c:ptCount val="6"/>
                <c:pt idx="0">
                  <c:v>267.46666666702367</c:v>
                </c:pt>
                <c:pt idx="1">
                  <c:v>260.12195122002328</c:v>
                </c:pt>
                <c:pt idx="2">
                  <c:v>190.84210526430979</c:v>
                </c:pt>
                <c:pt idx="3">
                  <c:v>154.78947368364683</c:v>
                </c:pt>
                <c:pt idx="4">
                  <c:v>154.42553191557229</c:v>
                </c:pt>
                <c:pt idx="5">
                  <c:v>131.92857142903708</c:v>
                </c:pt>
              </c:numCache>
            </c:numRef>
          </c:val>
          <c:extLst>
            <c:ext xmlns:c16="http://schemas.microsoft.com/office/drawing/2014/chart" uri="{C3380CC4-5D6E-409C-BE32-E72D297353CC}">
              <c16:uniqueId val="{00000000-9A1C-409D-AE79-D4EF9A151AF0}"/>
            </c:ext>
          </c:extLst>
        </c:ser>
        <c:dLbls>
          <c:showLegendKey val="0"/>
          <c:showVal val="0"/>
          <c:showCatName val="0"/>
          <c:showSerName val="0"/>
          <c:showPercent val="0"/>
          <c:showBubbleSize val="0"/>
        </c:dLbls>
        <c:gapWidth val="219"/>
        <c:overlap val="-27"/>
        <c:axId val="1338050568"/>
        <c:axId val="1338064904"/>
      </c:barChart>
      <c:catAx>
        <c:axId val="1338050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64904"/>
        <c:crosses val="autoZero"/>
        <c:auto val="1"/>
        <c:lblAlgn val="ctr"/>
        <c:lblOffset val="100"/>
        <c:noMultiLvlLbl val="0"/>
      </c:catAx>
      <c:valAx>
        <c:axId val="1338064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TAT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50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[Molecular_TAT_Dashboard.xlsx]Pivot_TAT_By_Shift!PivotTable1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Molecular Test Turnaround Time by Shift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pivotFmt>
    </c:pivotFmts>
    <c:plotArea>
      <c:layout/>
      <c:barChart>
        <c:barDir val="col"/>
        <c:grouping val="clustered"/>
        <c:varyColors val="0"/>
        <c:ser>
          <c:idx val="0"/>
          <c:order val="0"/>
          <c:tx>
            <c:strRef>
              <c:f>Pivot_TAT_By_Shift!$B$1</c:f>
              <c:strCache>
                <c:ptCount val="1"/>
                <c:pt idx="0">
                  <c:v>Total</c:v>
                </c:pt>
              </c:strCache>
            </c:strRef>
          </c:tx>
          <c:spPr>
            <a:solidFill>
              <a:srgbClr val="4472C4"/>
            </a:solidFill>
            <a:ln>
              <a:noFill/>
            </a:ln>
            <a:effectLst/>
          </c:spPr>
          <c:invertIfNegative val="0"/>
          <c:cat>
            <c:strRef>
              <c:f>Pivot_TAT_By_Shift!$A$2:$A$5</c:f>
              <c:strCache>
                <c:ptCount val="3"/>
                <c:pt idx="0">
                  <c:v>Evening</c:v>
                </c:pt>
                <c:pt idx="1">
                  <c:v>Night</c:v>
                </c:pt>
                <c:pt idx="2">
                  <c:v>Day</c:v>
                </c:pt>
              </c:strCache>
            </c:strRef>
          </c:cat>
          <c:val>
            <c:numRef>
              <c:f>Pivot_TAT_By_Shift!$B$2:$B$5</c:f>
              <c:numCache>
                <c:formatCode>0</c:formatCode>
                <c:ptCount val="3"/>
                <c:pt idx="0">
                  <c:v>210.64285714270747</c:v>
                </c:pt>
                <c:pt idx="1">
                  <c:v>204.15384615601326</c:v>
                </c:pt>
                <c:pt idx="2">
                  <c:v>194.82352941252483</c:v>
                </c:pt>
              </c:numCache>
            </c:numRef>
          </c:val>
          <c:extLst>
            <c:ext xmlns:c16="http://schemas.microsoft.com/office/drawing/2014/chart" uri="{C3380CC4-5D6E-409C-BE32-E72D297353CC}">
              <c16:uniqueId val="{00000000-666E-40DC-A474-B874C795C7AD}"/>
            </c:ext>
          </c:extLst>
        </c:ser>
        <c:dLbls>
          <c:showLegendKey val="0"/>
          <c:showVal val="0"/>
          <c:showCatName val="0"/>
          <c:showSerName val="0"/>
          <c:showPercent val="0"/>
          <c:showBubbleSize val="0"/>
        </c:dLbls>
        <c:gapWidth val="219"/>
        <c:overlap val="-27"/>
        <c:axId val="1151992327"/>
        <c:axId val="1371427335"/>
      </c:barChart>
      <c:catAx>
        <c:axId val="1151992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27335"/>
        <c:crosses val="autoZero"/>
        <c:auto val="1"/>
        <c:lblAlgn val="ctr"/>
        <c:lblOffset val="100"/>
        <c:noMultiLvlLbl val="0"/>
      </c:catAx>
      <c:valAx>
        <c:axId val="1371427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TAT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92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[Molecular_TAT_Dashboard.xlsx]Pivot_Test_Volume_By_Platform!PivotTable1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Molecular Volume By Platform</a:t>
            </a:r>
          </a:p>
        </c:rich>
      </c:tx>
      <c:layout>
        <c:manualLayout>
          <c:xMode val="edge"/>
          <c:yMode val="edge"/>
          <c:x val="0.20718044619422571"/>
          <c:y val="3.47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Pivot_Test_Volume_By_Platform!$B$1</c:f>
              <c:strCache>
                <c:ptCount val="1"/>
                <c:pt idx="0">
                  <c:v>Total</c:v>
                </c:pt>
              </c:strCache>
            </c:strRef>
          </c:tx>
          <c:spPr>
            <a:solidFill>
              <a:srgbClr val="4472C4"/>
            </a:solidFill>
            <a:ln>
              <a:noFill/>
            </a:ln>
            <a:effectLst/>
          </c:spPr>
          <c:invertIfNegative val="0"/>
          <c:cat>
            <c:strRef>
              <c:f>Pivot_Test_Volume_By_Platform!$A$2:$A$6</c:f>
              <c:strCache>
                <c:ptCount val="4"/>
                <c:pt idx="0">
                  <c:v>Revogene</c:v>
                </c:pt>
                <c:pt idx="1">
                  <c:v>BD Max</c:v>
                </c:pt>
                <c:pt idx="2">
                  <c:v>BioFire</c:v>
                </c:pt>
                <c:pt idx="3">
                  <c:v>Panther</c:v>
                </c:pt>
              </c:strCache>
            </c:strRef>
          </c:cat>
          <c:val>
            <c:numRef>
              <c:f>Pivot_Test_Volume_By_Platform!$B$2:$B$6</c:f>
              <c:numCache>
                <c:formatCode>General</c:formatCode>
                <c:ptCount val="4"/>
                <c:pt idx="0">
                  <c:v>69</c:v>
                </c:pt>
                <c:pt idx="1">
                  <c:v>49</c:v>
                </c:pt>
                <c:pt idx="2">
                  <c:v>42</c:v>
                </c:pt>
                <c:pt idx="3">
                  <c:v>39</c:v>
                </c:pt>
              </c:numCache>
            </c:numRef>
          </c:val>
          <c:extLst>
            <c:ext xmlns:c16="http://schemas.microsoft.com/office/drawing/2014/chart" uri="{C3380CC4-5D6E-409C-BE32-E72D297353CC}">
              <c16:uniqueId val="{00000000-3395-4B66-86AB-BE38AC1F2C2E}"/>
            </c:ext>
          </c:extLst>
        </c:ser>
        <c:dLbls>
          <c:showLegendKey val="0"/>
          <c:showVal val="0"/>
          <c:showCatName val="0"/>
          <c:showSerName val="0"/>
          <c:showPercent val="0"/>
          <c:showBubbleSize val="0"/>
        </c:dLbls>
        <c:gapWidth val="219"/>
        <c:overlap val="-27"/>
        <c:axId val="1402511367"/>
        <c:axId val="1402513927"/>
      </c:barChart>
      <c:catAx>
        <c:axId val="1402511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13927"/>
        <c:crosses val="autoZero"/>
        <c:auto val="1"/>
        <c:lblAlgn val="ctr"/>
        <c:lblOffset val="100"/>
        <c:noMultiLvlLbl val="0"/>
      </c:catAx>
      <c:valAx>
        <c:axId val="1402513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 Volume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11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33616</xdr:colOff>
      <xdr:row>0</xdr:row>
      <xdr:rowOff>30256</xdr:rowOff>
    </xdr:from>
    <xdr:to>
      <xdr:col>20</xdr:col>
      <xdr:colOff>0</xdr:colOff>
      <xdr:row>5</xdr:row>
      <xdr:rowOff>30256</xdr:rowOff>
    </xdr:to>
    <xdr:sp macro="" textlink="">
      <xdr:nvSpPr>
        <xdr:cNvPr id="2" name="Rectangle 1">
          <a:extLst>
            <a:ext uri="{FF2B5EF4-FFF2-40B4-BE49-F238E27FC236}">
              <a16:creationId xmlns:a16="http://schemas.microsoft.com/office/drawing/2014/main" id="{57966699-B1F1-31B0-9D2A-D9B7BFAB6252}"/>
            </a:ext>
          </a:extLst>
        </xdr:cNvPr>
        <xdr:cNvSpPr/>
      </xdr:nvSpPr>
      <xdr:spPr>
        <a:xfrm>
          <a:off x="33616" y="30256"/>
          <a:ext cx="12212813" cy="95250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I" sz="1100"/>
        </a:p>
      </xdr:txBody>
    </xdr:sp>
    <xdr:clientData/>
  </xdr:twoCellAnchor>
  <xdr:twoCellAnchor>
    <xdr:from>
      <xdr:col>0</xdr:col>
      <xdr:colOff>392206</xdr:colOff>
      <xdr:row>0</xdr:row>
      <xdr:rowOff>161924</xdr:rowOff>
    </xdr:from>
    <xdr:to>
      <xdr:col>19</xdr:col>
      <xdr:colOff>91917</xdr:colOff>
      <xdr:row>4</xdr:row>
      <xdr:rowOff>47625</xdr:rowOff>
    </xdr:to>
    <xdr:sp macro="" textlink="">
      <xdr:nvSpPr>
        <xdr:cNvPr id="3" name="TextBox 2">
          <a:extLst>
            <a:ext uri="{FF2B5EF4-FFF2-40B4-BE49-F238E27FC236}">
              <a16:creationId xmlns:a16="http://schemas.microsoft.com/office/drawing/2014/main" id="{D1ECD889-B91D-BB2E-5C63-6CBE04C4486A}"/>
            </a:ext>
          </a:extLst>
        </xdr:cNvPr>
        <xdr:cNvSpPr txBox="1"/>
      </xdr:nvSpPr>
      <xdr:spPr>
        <a:xfrm>
          <a:off x="392206" y="161924"/>
          <a:ext cx="11333818" cy="64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Molecular Diagnostics Turnaround Time</a:t>
          </a:r>
          <a:r>
            <a:rPr lang="en-US" sz="2000" b="1" baseline="0"/>
            <a:t> (TAT) Analysis</a:t>
          </a:r>
        </a:p>
        <a:p>
          <a:pPr algn="ctr"/>
          <a:r>
            <a:rPr lang="en-US" sz="1400" b="1"/>
            <a:t>Operational Workflow Performance Dashboard</a:t>
          </a:r>
        </a:p>
      </xdr:txBody>
    </xdr:sp>
    <xdr:clientData/>
  </xdr:twoCellAnchor>
  <xdr:twoCellAnchor>
    <xdr:from>
      <xdr:col>0</xdr:col>
      <xdr:colOff>0</xdr:colOff>
      <xdr:row>5</xdr:row>
      <xdr:rowOff>22412</xdr:rowOff>
    </xdr:from>
    <xdr:to>
      <xdr:col>20</xdr:col>
      <xdr:colOff>-1</xdr:colOff>
      <xdr:row>12</xdr:row>
      <xdr:rowOff>7172</xdr:rowOff>
    </xdr:to>
    <xdr:sp macro="" textlink="">
      <xdr:nvSpPr>
        <xdr:cNvPr id="4" name="TextBox 3">
          <a:extLst>
            <a:ext uri="{FF2B5EF4-FFF2-40B4-BE49-F238E27FC236}">
              <a16:creationId xmlns:a16="http://schemas.microsoft.com/office/drawing/2014/main" id="{CF4F106C-338C-6437-CD24-6AA6F8C600A5}"/>
            </a:ext>
          </a:extLst>
        </xdr:cNvPr>
        <xdr:cNvSpPr txBox="1"/>
      </xdr:nvSpPr>
      <xdr:spPr>
        <a:xfrm>
          <a:off x="0" y="974912"/>
          <a:ext cx="12246428"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Project Objective</a:t>
          </a:r>
          <a:r>
            <a:rPr lang="en-US" sz="1600" b="1" baseline="0"/>
            <a:t> </a:t>
          </a:r>
        </a:p>
        <a:p>
          <a:pPr algn="l"/>
          <a:r>
            <a:rPr lang="en-US" sz="1200"/>
            <a:t>This project analyzes turnaround time (TAT) performance for </a:t>
          </a:r>
          <a:br>
            <a:rPr lang="en-US" sz="1200"/>
          </a:br>
          <a:r>
            <a:rPr lang="en-US" sz="1200"/>
            <a:t>molecular diagnostic testing platforms to identify workflow </a:t>
          </a:r>
          <a:br>
            <a:rPr lang="en-US" sz="1200"/>
          </a:br>
          <a:r>
            <a:rPr lang="en-US" sz="1200"/>
            <a:t>variation across instruments and test types.</a:t>
          </a:r>
          <a:endParaRPr lang="en-AI" sz="1200" b="1"/>
        </a:p>
      </xdr:txBody>
    </xdr:sp>
    <xdr:clientData/>
  </xdr:twoCellAnchor>
  <xdr:twoCellAnchor>
    <xdr:from>
      <xdr:col>0</xdr:col>
      <xdr:colOff>0</xdr:colOff>
      <xdr:row>12</xdr:row>
      <xdr:rowOff>22412</xdr:rowOff>
    </xdr:from>
    <xdr:to>
      <xdr:col>20</xdr:col>
      <xdr:colOff>-1</xdr:colOff>
      <xdr:row>20</xdr:row>
      <xdr:rowOff>1459</xdr:rowOff>
    </xdr:to>
    <xdr:sp macro="" textlink="">
      <xdr:nvSpPr>
        <xdr:cNvPr id="5" name="TextBox 4">
          <a:extLst>
            <a:ext uri="{FF2B5EF4-FFF2-40B4-BE49-F238E27FC236}">
              <a16:creationId xmlns:a16="http://schemas.microsoft.com/office/drawing/2014/main" id="{C1309C27-B5B3-440D-BD83-C15C9045F6F3}"/>
            </a:ext>
          </a:extLst>
        </xdr:cNvPr>
        <xdr:cNvSpPr txBox="1"/>
      </xdr:nvSpPr>
      <xdr:spPr>
        <a:xfrm>
          <a:off x="0" y="2308412"/>
          <a:ext cx="12246428" cy="15030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Key Questions</a:t>
          </a:r>
          <a:endParaRPr lang="en-US" sz="1600" b="1" baseline="0"/>
        </a:p>
        <a:p>
          <a:pPr algn="l"/>
          <a:r>
            <a:rPr lang="en-US" sz="1200"/>
            <a:t>• Which molecular instruments show the longest turnaround times?</a:t>
          </a:r>
          <a:br>
            <a:rPr lang="en-US" sz="1200"/>
          </a:br>
          <a:r>
            <a:rPr lang="en-US" sz="1200"/>
            <a:t>• Which test types demonstrate the greatest variation in TAT?</a:t>
          </a:r>
          <a:br>
            <a:rPr lang="en-US" sz="1200"/>
          </a:br>
          <a:r>
            <a:rPr lang="en-US" sz="1200"/>
            <a:t>• Are there workflow patterns suggesting batching or delays </a:t>
          </a:r>
          <a:br>
            <a:rPr lang="en-US" sz="1200"/>
          </a:br>
          <a:r>
            <a:rPr lang="en-US" sz="1200"/>
            <a:t>in test processing?</a:t>
          </a:r>
          <a:endParaRPr lang="en-AI" sz="1200" b="1"/>
        </a:p>
      </xdr:txBody>
    </xdr:sp>
    <xdr:clientData/>
  </xdr:twoCellAnchor>
  <xdr:twoCellAnchor>
    <xdr:from>
      <xdr:col>0</xdr:col>
      <xdr:colOff>22412</xdr:colOff>
      <xdr:row>20</xdr:row>
      <xdr:rowOff>11206</xdr:rowOff>
    </xdr:from>
    <xdr:to>
      <xdr:col>20</xdr:col>
      <xdr:colOff>6395</xdr:colOff>
      <xdr:row>28</xdr:row>
      <xdr:rowOff>171675</xdr:rowOff>
    </xdr:to>
    <xdr:sp macro="" textlink="">
      <xdr:nvSpPr>
        <xdr:cNvPr id="6" name="TextBox 5">
          <a:extLst>
            <a:ext uri="{FF2B5EF4-FFF2-40B4-BE49-F238E27FC236}">
              <a16:creationId xmlns:a16="http://schemas.microsoft.com/office/drawing/2014/main" id="{2D11472B-C9F2-4FC2-84B3-9E3D7A2ACE74}"/>
            </a:ext>
          </a:extLst>
        </xdr:cNvPr>
        <xdr:cNvSpPr txBox="1"/>
      </xdr:nvSpPr>
      <xdr:spPr>
        <a:xfrm>
          <a:off x="22412" y="3821206"/>
          <a:ext cx="12230412" cy="1684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Data Description</a:t>
          </a:r>
          <a:endParaRPr lang="en-US" sz="1600" b="1" baseline="0"/>
        </a:p>
        <a:p>
          <a:pPr algn="l"/>
          <a:r>
            <a:rPr lang="en-US" sz="1200"/>
            <a:t>The dataset represents simulated molecular diagnostic testing </a:t>
          </a:r>
          <a:br>
            <a:rPr lang="en-US" sz="1200"/>
          </a:br>
          <a:r>
            <a:rPr lang="en-US" sz="1200"/>
            <a:t>workflows across several platforms including BD Max, Revogene, </a:t>
          </a:r>
          <a:br>
            <a:rPr lang="en-US" sz="1200"/>
          </a:br>
          <a:r>
            <a:rPr lang="en-US" sz="1200"/>
            <a:t>and BioFire.</a:t>
          </a:r>
          <a:r>
            <a:rPr lang="en-US" sz="1200" baseline="0"/>
            <a:t> </a:t>
          </a:r>
        </a:p>
        <a:p>
          <a:pPr algn="l"/>
          <a:r>
            <a:rPr lang="en-US" sz="1200"/>
            <a:t>Each record includes order time, result time, instrument platform, </a:t>
          </a:r>
          <a:br>
            <a:rPr lang="en-US" sz="1200"/>
          </a:br>
          <a:r>
            <a:rPr lang="en-US" sz="1200"/>
            <a:t>test type, and calculated turnaround time.</a:t>
          </a:r>
          <a:endParaRPr lang="en-AI" sz="1200" b="1"/>
        </a:p>
      </xdr:txBody>
    </xdr:sp>
    <xdr:clientData/>
  </xdr:twoCellAnchor>
  <xdr:twoCellAnchor>
    <xdr:from>
      <xdr:col>0</xdr:col>
      <xdr:colOff>0</xdr:colOff>
      <xdr:row>28</xdr:row>
      <xdr:rowOff>156882</xdr:rowOff>
    </xdr:from>
    <xdr:to>
      <xdr:col>20</xdr:col>
      <xdr:colOff>19391</xdr:colOff>
      <xdr:row>36</xdr:row>
      <xdr:rowOff>186690</xdr:rowOff>
    </xdr:to>
    <xdr:sp macro="" textlink="">
      <xdr:nvSpPr>
        <xdr:cNvPr id="7" name="TextBox 6">
          <a:extLst>
            <a:ext uri="{FF2B5EF4-FFF2-40B4-BE49-F238E27FC236}">
              <a16:creationId xmlns:a16="http://schemas.microsoft.com/office/drawing/2014/main" id="{149C13A9-58AA-4790-BA08-118F4D07183B}"/>
            </a:ext>
          </a:extLst>
        </xdr:cNvPr>
        <xdr:cNvSpPr txBox="1"/>
      </xdr:nvSpPr>
      <xdr:spPr>
        <a:xfrm>
          <a:off x="0" y="5490882"/>
          <a:ext cx="12265820" cy="1553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Tools Used</a:t>
          </a:r>
        </a:p>
        <a:p>
          <a:pPr algn="l"/>
          <a:r>
            <a:rPr lang="en-US" sz="1200"/>
            <a:t>• Microsoft Excel</a:t>
          </a:r>
          <a:br>
            <a:rPr lang="en-US" sz="1200"/>
          </a:br>
          <a:r>
            <a:rPr lang="en-US" sz="1200"/>
            <a:t>• Pivot Tables</a:t>
          </a:r>
          <a:br>
            <a:rPr lang="en-US" sz="1200"/>
          </a:br>
          <a:r>
            <a:rPr lang="en-US" sz="1200"/>
            <a:t>• Data Visualization</a:t>
          </a:r>
          <a:br>
            <a:rPr lang="en-US" sz="1200"/>
          </a:br>
          <a:r>
            <a:rPr lang="en-US" sz="1200"/>
            <a:t>• Operational Analytics</a:t>
          </a:r>
          <a:endParaRPr lang="en-AI" sz="1200" b="1"/>
        </a:p>
      </xdr:txBody>
    </xdr:sp>
    <xdr:clientData/>
  </xdr:twoCellAnchor>
  <xdr:twoCellAnchor>
    <xdr:from>
      <xdr:col>0</xdr:col>
      <xdr:colOff>0</xdr:colOff>
      <xdr:row>37</xdr:row>
      <xdr:rowOff>0</xdr:rowOff>
    </xdr:from>
    <xdr:to>
      <xdr:col>20</xdr:col>
      <xdr:colOff>19392</xdr:colOff>
      <xdr:row>45</xdr:row>
      <xdr:rowOff>190499</xdr:rowOff>
    </xdr:to>
    <xdr:sp macro="" textlink="">
      <xdr:nvSpPr>
        <xdr:cNvPr id="8" name="TextBox 7">
          <a:extLst>
            <a:ext uri="{FF2B5EF4-FFF2-40B4-BE49-F238E27FC236}">
              <a16:creationId xmlns:a16="http://schemas.microsoft.com/office/drawing/2014/main" id="{F2B6E4B4-61B0-4ACB-94BC-67D11B6511F7}"/>
            </a:ext>
          </a:extLst>
        </xdr:cNvPr>
        <xdr:cNvSpPr txBox="1"/>
      </xdr:nvSpPr>
      <xdr:spPr>
        <a:xfrm>
          <a:off x="0" y="7048500"/>
          <a:ext cx="12265821" cy="1714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600" b="1">
            <a:solidFill>
              <a:schemeClr val="dk1"/>
            </a:solidFill>
            <a:latin typeface="+mn-lt"/>
            <a:ea typeface="+mn-ea"/>
            <a:cs typeface="+mn-cs"/>
          </a:endParaRPr>
        </a:p>
        <a:p>
          <a:pPr marL="0" indent="0" algn="l"/>
          <a:r>
            <a:rPr lang="en-US" sz="1600" b="1">
              <a:solidFill>
                <a:schemeClr val="dk1"/>
              </a:solidFill>
              <a:latin typeface="+mn-lt"/>
              <a:ea typeface="+mn-ea"/>
              <a:cs typeface="+mn-cs"/>
            </a:rPr>
            <a:t>Author</a:t>
          </a:r>
        </a:p>
        <a:p>
          <a:pPr marL="0" indent="0" algn="l"/>
          <a:r>
            <a:rPr lang="en-US" sz="1200"/>
            <a:t>Stephen Henderson</a:t>
          </a:r>
          <a:br>
            <a:rPr lang="en-US" sz="1200"/>
          </a:br>
          <a:r>
            <a:rPr lang="en-US" sz="1200"/>
            <a:t>Medical Laboratory Scientist (MLS)</a:t>
          </a:r>
          <a:br>
            <a:rPr lang="en-US" sz="1200"/>
          </a:br>
          <a:r>
            <a:rPr lang="en-US" sz="1200"/>
            <a:t>Molecular Biology Technologist (MB)</a:t>
          </a:r>
          <a:br>
            <a:rPr lang="en-US" sz="1400"/>
          </a:br>
          <a:br>
            <a:rPr lang="en-US" sz="1400"/>
          </a:br>
          <a:r>
            <a:rPr lang="en-US" sz="1200"/>
            <a:t>Project created as part of healthcare informatics portfolio development.</a:t>
          </a:r>
          <a:endParaRPr lang="en-US" sz="1200" b="1">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1</xdr:rowOff>
    </xdr:from>
    <xdr:to>
      <xdr:col>11</xdr:col>
      <xdr:colOff>0</xdr:colOff>
      <xdr:row>24</xdr:row>
      <xdr:rowOff>0</xdr:rowOff>
    </xdr:to>
    <xdr:sp macro="" textlink="">
      <xdr:nvSpPr>
        <xdr:cNvPr id="4" name="TextBox 3">
          <a:extLst>
            <a:ext uri="{FF2B5EF4-FFF2-40B4-BE49-F238E27FC236}">
              <a16:creationId xmlns:a16="http://schemas.microsoft.com/office/drawing/2014/main" id="{26909E78-D49F-1EE6-A9BC-F02B1A761D98}"/>
            </a:ext>
            <a:ext uri="{147F2762-F138-4A5C-976F-8EAC2B608ADB}">
              <a16:predDERef xmlns:a16="http://schemas.microsoft.com/office/drawing/2014/main" pred="{98D1DA06-7AE8-B986-828C-BA33103C3153}"/>
            </a:ext>
          </a:extLst>
        </xdr:cNvPr>
        <xdr:cNvSpPr txBox="1"/>
      </xdr:nvSpPr>
      <xdr:spPr>
        <a:xfrm>
          <a:off x="0" y="4095751"/>
          <a:ext cx="11797393" cy="571499"/>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Analysis of simulated molecular diagnostic workflow data evaluating turnaround time performance across testing platforms, hospital locations, and operational shifts.</a:t>
          </a:r>
        </a:p>
      </xdr:txBody>
    </xdr:sp>
    <xdr:clientData/>
  </xdr:twoCellAnchor>
  <xdr:twoCellAnchor>
    <xdr:from>
      <xdr:col>5</xdr:col>
      <xdr:colOff>1628774</xdr:colOff>
      <xdr:row>9</xdr:row>
      <xdr:rowOff>9525</xdr:rowOff>
    </xdr:from>
    <xdr:to>
      <xdr:col>11</xdr:col>
      <xdr:colOff>0</xdr:colOff>
      <xdr:row>21</xdr:row>
      <xdr:rowOff>1</xdr:rowOff>
    </xdr:to>
    <mc:AlternateContent xmlns:mc="http://schemas.openxmlformats.org/markup-compatibility/2006">
      <mc:Choice xmlns:a14="http://schemas.microsoft.com/office/drawing/2010/main" Requires="a14">
        <xdr:graphicFrame macro="">
          <xdr:nvGraphicFramePr>
            <xdr:cNvPr id="2" name="Test_Name">
              <a:extLst>
                <a:ext uri="{FF2B5EF4-FFF2-40B4-BE49-F238E27FC236}">
                  <a16:creationId xmlns:a16="http://schemas.microsoft.com/office/drawing/2014/main" id="{1725DC2B-310C-CDD3-3FC6-B2413517AB55}"/>
                </a:ext>
                <a:ext uri="{147F2762-F138-4A5C-976F-8EAC2B608ADB}">
                  <a16:predDERef xmlns:a16="http://schemas.microsoft.com/office/drawing/2014/main" pred="{26909E78-D49F-1EE6-A9BC-F02B1A761D98}"/>
                </a:ext>
              </a:extLst>
            </xdr:cNvPr>
            <xdr:cNvGraphicFramePr/>
          </xdr:nvGraphicFramePr>
          <xdr:xfrm>
            <a:off x="0" y="0"/>
            <a:ext cx="0" cy="0"/>
          </xdr:xfrm>
          <a:graphic>
            <a:graphicData uri="http://schemas.microsoft.com/office/drawing/2010/slicer">
              <sle:slicer xmlns:sle="http://schemas.microsoft.com/office/drawing/2010/slicer" name="Test_Name"/>
            </a:graphicData>
          </a:graphic>
        </xdr:graphicFrame>
      </mc:Choice>
      <mc:Fallback>
        <xdr:sp macro="" textlink="">
          <xdr:nvSpPr>
            <xdr:cNvPr id="0" name=""/>
            <xdr:cNvSpPr>
              <a:spLocks noTextEdit="1"/>
            </xdr:cNvSpPr>
          </xdr:nvSpPr>
          <xdr:spPr>
            <a:xfrm>
              <a:off x="8731703" y="1819275"/>
              <a:ext cx="3065690" cy="2276476"/>
            </a:xfrm>
            <a:prstGeom prst="rect">
              <a:avLst/>
            </a:prstGeom>
            <a:solidFill>
              <a:prstClr val="white"/>
            </a:solidFill>
            <a:ln w="1">
              <a:solidFill>
                <a:prstClr val="green"/>
              </a:solidFill>
            </a:ln>
          </xdr:spPr>
          <xdr:txBody>
            <a:bodyPr vertOverflow="clip" horzOverflow="clip"/>
            <a:lstStyle/>
            <a:p>
              <a:r>
                <a:rPr lang="en-A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17009</xdr:colOff>
      <xdr:row>9</xdr:row>
      <xdr:rowOff>9525</xdr:rowOff>
    </xdr:from>
    <xdr:to>
      <xdr:col>2</xdr:col>
      <xdr:colOff>9525</xdr:colOff>
      <xdr:row>21</xdr:row>
      <xdr:rowOff>0</xdr:rowOff>
    </xdr:to>
    <mc:AlternateContent xmlns:mc="http://schemas.openxmlformats.org/markup-compatibility/2006">
      <mc:Choice xmlns:a14="http://schemas.microsoft.com/office/drawing/2010/main" Requires="a14">
        <xdr:graphicFrame macro="">
          <xdr:nvGraphicFramePr>
            <xdr:cNvPr id="5" name="Platform">
              <a:extLst>
                <a:ext uri="{FF2B5EF4-FFF2-40B4-BE49-F238E27FC236}">
                  <a16:creationId xmlns:a16="http://schemas.microsoft.com/office/drawing/2014/main" id="{5FC3E232-EEAE-61B8-F460-A991E587DFF0}"/>
                </a:ext>
                <a:ext uri="{147F2762-F138-4A5C-976F-8EAC2B608ADB}">
                  <a16:predDERef xmlns:a16="http://schemas.microsoft.com/office/drawing/2014/main" pred="{1725DC2B-310C-CDD3-3FC6-B2413517AB5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7009" y="1819275"/>
              <a:ext cx="2387373" cy="2276475"/>
            </a:xfrm>
            <a:prstGeom prst="rect">
              <a:avLst/>
            </a:prstGeom>
            <a:solidFill>
              <a:prstClr val="white"/>
            </a:solidFill>
            <a:ln w="1">
              <a:solidFill>
                <a:prstClr val="green"/>
              </a:solidFill>
            </a:ln>
          </xdr:spPr>
          <xdr:txBody>
            <a:bodyPr vertOverflow="clip" horzOverflow="clip"/>
            <a:lstStyle/>
            <a:p>
              <a:r>
                <a:rPr lang="en-A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180975</xdr:rowOff>
    </xdr:from>
    <xdr:to>
      <xdr:col>6</xdr:col>
      <xdr:colOff>18370</xdr:colOff>
      <xdr:row>21</xdr:row>
      <xdr:rowOff>0</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6A073835-2DAF-4DF8-7AAB-76EFCEF3522D}"/>
                </a:ext>
                <a:ext uri="{147F2762-F138-4A5C-976F-8EAC2B608ADB}">
                  <a16:predDERef xmlns:a16="http://schemas.microsoft.com/office/drawing/2014/main" pred="{5FC3E232-EEAE-61B8-F460-A991E587DFF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470071" y="1800225"/>
              <a:ext cx="3284085" cy="2295525"/>
            </a:xfrm>
            <a:prstGeom prst="rect">
              <a:avLst/>
            </a:prstGeom>
            <a:solidFill>
              <a:prstClr val="white"/>
            </a:solidFill>
            <a:ln w="1">
              <a:solidFill>
                <a:prstClr val="green"/>
              </a:solidFill>
            </a:ln>
          </xdr:spPr>
          <xdr:txBody>
            <a:bodyPr vertOverflow="clip" horzOverflow="clip"/>
            <a:lstStyle/>
            <a:p>
              <a:r>
                <a:rPr lang="en-A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xdr:colOff>
      <xdr:row>9</xdr:row>
      <xdr:rowOff>13793</xdr:rowOff>
    </xdr:from>
    <xdr:to>
      <xdr:col>3</xdr:col>
      <xdr:colOff>1438274</xdr:colOff>
      <xdr:row>21</xdr:row>
      <xdr:rowOff>1</xdr:rowOff>
    </xdr:to>
    <mc:AlternateContent xmlns:mc="http://schemas.openxmlformats.org/markup-compatibility/2006">
      <mc:Choice xmlns:a14="http://schemas.microsoft.com/office/drawing/2010/main" Requires="a14">
        <xdr:graphicFrame macro="">
          <xdr:nvGraphicFramePr>
            <xdr:cNvPr id="7" name="Shift ">
              <a:extLst>
                <a:ext uri="{FF2B5EF4-FFF2-40B4-BE49-F238E27FC236}">
                  <a16:creationId xmlns:a16="http://schemas.microsoft.com/office/drawing/2014/main" id="{72AA912C-C135-79A3-8CAF-42E2022D25E9}"/>
                </a:ext>
                <a:ext uri="{147F2762-F138-4A5C-976F-8EAC2B608ADB}">
                  <a16:predDERef xmlns:a16="http://schemas.microsoft.com/office/drawing/2014/main" pred="{6A073835-2DAF-4DF8-7AAB-76EFCEF3522D}"/>
                </a:ext>
              </a:extLst>
            </xdr:cNvPr>
            <xdr:cNvGraphicFramePr/>
          </xdr:nvGraphicFramePr>
          <xdr:xfrm>
            <a:off x="0" y="0"/>
            <a:ext cx="0" cy="0"/>
          </xdr:xfrm>
          <a:graphic>
            <a:graphicData uri="http://schemas.microsoft.com/office/drawing/2010/slicer">
              <sle:slicer xmlns:sle="http://schemas.microsoft.com/office/drawing/2010/slicer" name="Shift "/>
            </a:graphicData>
          </a:graphic>
        </xdr:graphicFrame>
      </mc:Choice>
      <mc:Fallback>
        <xdr:sp macro="" textlink="">
          <xdr:nvSpPr>
            <xdr:cNvPr id="0" name=""/>
            <xdr:cNvSpPr>
              <a:spLocks noTextEdit="1"/>
            </xdr:cNvSpPr>
          </xdr:nvSpPr>
          <xdr:spPr>
            <a:xfrm>
              <a:off x="2400299" y="1823543"/>
              <a:ext cx="3065689" cy="2272208"/>
            </a:xfrm>
            <a:prstGeom prst="rect">
              <a:avLst/>
            </a:prstGeom>
            <a:solidFill>
              <a:prstClr val="white"/>
            </a:solidFill>
            <a:ln w="1">
              <a:solidFill>
                <a:prstClr val="green"/>
              </a:solidFill>
            </a:ln>
          </xdr:spPr>
          <xdr:txBody>
            <a:bodyPr vertOverflow="clip" horzOverflow="clip"/>
            <a:lstStyle/>
            <a:p>
              <a:r>
                <a:rPr lang="en-A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86</xdr:row>
      <xdr:rowOff>166688</xdr:rowOff>
    </xdr:from>
    <xdr:to>
      <xdr:col>11</xdr:col>
      <xdr:colOff>0</xdr:colOff>
      <xdr:row>118</xdr:row>
      <xdr:rowOff>0</xdr:rowOff>
    </xdr:to>
    <xdr:graphicFrame macro="">
      <xdr:nvGraphicFramePr>
        <xdr:cNvPr id="8" name="Chart 7">
          <a:extLst>
            <a:ext uri="{FF2B5EF4-FFF2-40B4-BE49-F238E27FC236}">
              <a16:creationId xmlns:a16="http://schemas.microsoft.com/office/drawing/2014/main" id="{DD7B9FF7-80C4-4FF6-8566-C77B61959560}"/>
            </a:ext>
            <a:ext uri="{147F2762-F138-4A5C-976F-8EAC2B608ADB}">
              <a16:predDERef xmlns:a16="http://schemas.microsoft.com/office/drawing/2014/main" pred="{72AA912C-C135-79A3-8CAF-42E2022D2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17318</xdr:rowOff>
    </xdr:from>
    <xdr:to>
      <xdr:col>10</xdr:col>
      <xdr:colOff>612321</xdr:colOff>
      <xdr:row>4</xdr:row>
      <xdr:rowOff>34636</xdr:rowOff>
    </xdr:to>
    <xdr:sp macro="" textlink="">
      <xdr:nvSpPr>
        <xdr:cNvPr id="13" name="Rectangle 12">
          <a:extLst>
            <a:ext uri="{FF2B5EF4-FFF2-40B4-BE49-F238E27FC236}">
              <a16:creationId xmlns:a16="http://schemas.microsoft.com/office/drawing/2014/main" id="{69F127E7-4E9A-44E0-9026-414E4DBF6AA8}"/>
            </a:ext>
          </a:extLst>
        </xdr:cNvPr>
        <xdr:cNvSpPr/>
      </xdr:nvSpPr>
      <xdr:spPr>
        <a:xfrm>
          <a:off x="0" y="17318"/>
          <a:ext cx="11797392" cy="888175"/>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I" sz="1100"/>
        </a:p>
      </xdr:txBody>
    </xdr:sp>
    <xdr:clientData/>
  </xdr:twoCellAnchor>
  <xdr:twoCellAnchor>
    <xdr:from>
      <xdr:col>0</xdr:col>
      <xdr:colOff>0</xdr:colOff>
      <xdr:row>24</xdr:row>
      <xdr:rowOff>0</xdr:rowOff>
    </xdr:from>
    <xdr:to>
      <xdr:col>4</xdr:col>
      <xdr:colOff>57830</xdr:colOff>
      <xdr:row>55</xdr:row>
      <xdr:rowOff>34500</xdr:rowOff>
    </xdr:to>
    <xdr:graphicFrame macro="">
      <xdr:nvGraphicFramePr>
        <xdr:cNvPr id="9" name="Chart 8">
          <a:extLst>
            <a:ext uri="{FF2B5EF4-FFF2-40B4-BE49-F238E27FC236}">
              <a16:creationId xmlns:a16="http://schemas.microsoft.com/office/drawing/2014/main" id="{940C4FCD-822B-4A95-8196-2B74CBACD356}"/>
            </a:ext>
            <a:ext uri="{147F2762-F138-4A5C-976F-8EAC2B608ADB}">
              <a16:predDERef xmlns:a16="http://schemas.microsoft.com/office/drawing/2014/main" pred="{DD7B9FF7-80C4-4FF6-8566-C77B61959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24</xdr:row>
      <xdr:rowOff>0</xdr:rowOff>
    </xdr:from>
    <xdr:to>
      <xdr:col>10</xdr:col>
      <xdr:colOff>612321</xdr:colOff>
      <xdr:row>55</xdr:row>
      <xdr:rowOff>0</xdr:rowOff>
    </xdr:to>
    <xdr:graphicFrame macro="">
      <xdr:nvGraphicFramePr>
        <xdr:cNvPr id="10" name="Chart 9">
          <a:extLst>
            <a:ext uri="{FF2B5EF4-FFF2-40B4-BE49-F238E27FC236}">
              <a16:creationId xmlns:a16="http://schemas.microsoft.com/office/drawing/2014/main" id="{9C377AFC-DBEA-4A7D-B68B-1B2ED616258C}"/>
            </a:ext>
            <a:ext uri="{147F2762-F138-4A5C-976F-8EAC2B608ADB}">
              <a16:predDERef xmlns:a16="http://schemas.microsoft.com/office/drawing/2014/main" pred="{940C4FCD-822B-4A95-8196-2B74CBACD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55</xdr:row>
      <xdr:rowOff>0</xdr:rowOff>
    </xdr:from>
    <xdr:to>
      <xdr:col>4</xdr:col>
      <xdr:colOff>57830</xdr:colOff>
      <xdr:row>86</xdr:row>
      <xdr:rowOff>166687</xdr:rowOff>
    </xdr:to>
    <xdr:graphicFrame macro="">
      <xdr:nvGraphicFramePr>
        <xdr:cNvPr id="11" name="Chart 10">
          <a:extLst>
            <a:ext uri="{FF2B5EF4-FFF2-40B4-BE49-F238E27FC236}">
              <a16:creationId xmlns:a16="http://schemas.microsoft.com/office/drawing/2014/main" id="{22318E16-897D-4C0A-B2E3-A40AE5978EAF}"/>
            </a:ext>
            <a:ext uri="{147F2762-F138-4A5C-976F-8EAC2B608ADB}">
              <a16:predDERef xmlns:a16="http://schemas.microsoft.com/office/drawing/2014/main" pred="{9C377AFC-DBEA-4A7D-B68B-1B2ED6162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55</xdr:row>
      <xdr:rowOff>0</xdr:rowOff>
    </xdr:from>
    <xdr:to>
      <xdr:col>11</xdr:col>
      <xdr:colOff>0</xdr:colOff>
      <xdr:row>86</xdr:row>
      <xdr:rowOff>136071</xdr:rowOff>
    </xdr:to>
    <xdr:graphicFrame macro="">
      <xdr:nvGraphicFramePr>
        <xdr:cNvPr id="12" name="Chart 11">
          <a:extLst>
            <a:ext uri="{FF2B5EF4-FFF2-40B4-BE49-F238E27FC236}">
              <a16:creationId xmlns:a16="http://schemas.microsoft.com/office/drawing/2014/main" id="{F88047D0-C600-4450-98BC-4B6A6F111535}"/>
            </a:ext>
            <a:ext uri="{147F2762-F138-4A5C-976F-8EAC2B608ADB}">
              <a16:predDERef xmlns:a16="http://schemas.microsoft.com/office/drawing/2014/main" pred="{22318E16-897D-4C0A-B2E3-A40AE5978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445481</xdr:colOff>
      <xdr:row>0</xdr:row>
      <xdr:rowOff>136565</xdr:rowOff>
    </xdr:from>
    <xdr:to>
      <xdr:col>10</xdr:col>
      <xdr:colOff>0</xdr:colOff>
      <xdr:row>3</xdr:row>
      <xdr:rowOff>108857</xdr:rowOff>
    </xdr:to>
    <xdr:sp macro="" textlink="">
      <xdr:nvSpPr>
        <xdr:cNvPr id="14" name="TextBox 13">
          <a:extLst>
            <a:ext uri="{FF2B5EF4-FFF2-40B4-BE49-F238E27FC236}">
              <a16:creationId xmlns:a16="http://schemas.microsoft.com/office/drawing/2014/main" id="{545CCAE4-4EAE-4808-9752-160F3FFDD626}"/>
            </a:ext>
          </a:extLst>
        </xdr:cNvPr>
        <xdr:cNvSpPr txBox="1"/>
      </xdr:nvSpPr>
      <xdr:spPr>
        <a:xfrm>
          <a:off x="445481" y="136565"/>
          <a:ext cx="10739590" cy="652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Molecular Diagnostics Turnaround Time</a:t>
          </a:r>
          <a:r>
            <a:rPr lang="en-US" sz="1800" b="1" baseline="0"/>
            <a:t> (TAT) Analysis</a:t>
          </a:r>
        </a:p>
        <a:p>
          <a:pPr algn="ctr"/>
          <a:r>
            <a:rPr lang="en-US" sz="1400" b="1"/>
            <a:t>Operational Workflow Performance Dashboard</a:t>
          </a:r>
        </a:p>
      </xdr:txBody>
    </xdr:sp>
    <xdr:clientData/>
  </xdr:twoCellAnchor>
  <xdr:twoCellAnchor>
    <xdr:from>
      <xdr:col>0</xdr:col>
      <xdr:colOff>0</xdr:colOff>
      <xdr:row>4</xdr:row>
      <xdr:rowOff>0</xdr:rowOff>
    </xdr:from>
    <xdr:to>
      <xdr:col>2</xdr:col>
      <xdr:colOff>0</xdr:colOff>
      <xdr:row>9</xdr:row>
      <xdr:rowOff>0</xdr:rowOff>
    </xdr:to>
    <xdr:sp macro="" textlink="Pivot_KPI!A4">
      <xdr:nvSpPr>
        <xdr:cNvPr id="16" name="TextBox 15">
          <a:extLst>
            <a:ext uri="{FF2B5EF4-FFF2-40B4-BE49-F238E27FC236}">
              <a16:creationId xmlns:a16="http://schemas.microsoft.com/office/drawing/2014/main" id="{3700E3A8-E603-273D-66DC-4F51A0EC53A7}"/>
            </a:ext>
          </a:extLst>
        </xdr:cNvPr>
        <xdr:cNvSpPr txBox="1"/>
      </xdr:nvSpPr>
      <xdr:spPr>
        <a:xfrm>
          <a:off x="0" y="870857"/>
          <a:ext cx="2394857" cy="938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0" i="0" u="none" strike="noStrike">
              <a:solidFill>
                <a:srgbClr val="000000"/>
              </a:solidFill>
              <a:latin typeface="Calibri"/>
              <a:ea typeface="Calibri"/>
              <a:cs typeface="Calibri"/>
            </a:rPr>
            <a:t>Average TAT</a:t>
          </a:r>
        </a:p>
        <a:p>
          <a:pPr algn="ctr"/>
          <a:fld id="{CED7B050-BF8F-451A-B1CA-5C4E647413BE}" type="TxLink">
            <a:rPr lang="en-US" sz="2200" b="0" i="0" u="none" strike="noStrike">
              <a:solidFill>
                <a:srgbClr val="000000"/>
              </a:solidFill>
              <a:latin typeface="Calibri"/>
              <a:ea typeface="Calibri"/>
              <a:cs typeface="Calibri"/>
            </a:rPr>
            <a:t>202</a:t>
          </a:fld>
          <a:endParaRPr lang="en-US"/>
        </a:p>
      </xdr:txBody>
    </xdr:sp>
    <xdr:clientData/>
  </xdr:twoCellAnchor>
  <xdr:twoCellAnchor>
    <xdr:from>
      <xdr:col>2</xdr:col>
      <xdr:colOff>0</xdr:colOff>
      <xdr:row>4</xdr:row>
      <xdr:rowOff>0</xdr:rowOff>
    </xdr:from>
    <xdr:to>
      <xdr:col>4</xdr:col>
      <xdr:colOff>0</xdr:colOff>
      <xdr:row>9</xdr:row>
      <xdr:rowOff>0</xdr:rowOff>
    </xdr:to>
    <xdr:sp macro="" textlink="Pivot_KPI!D4">
      <xdr:nvSpPr>
        <xdr:cNvPr id="22" name="TextBox 21">
          <a:extLst>
            <a:ext uri="{FF2B5EF4-FFF2-40B4-BE49-F238E27FC236}">
              <a16:creationId xmlns:a16="http://schemas.microsoft.com/office/drawing/2014/main" id="{5D5DFD4A-D694-4424-8631-393CC5E0C1E3}"/>
            </a:ext>
          </a:extLst>
        </xdr:cNvPr>
        <xdr:cNvSpPr txBox="1"/>
      </xdr:nvSpPr>
      <xdr:spPr>
        <a:xfrm>
          <a:off x="2394857" y="870857"/>
          <a:ext cx="3075214" cy="938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0" i="0" u="none" strike="noStrike">
              <a:solidFill>
                <a:srgbClr val="000000"/>
              </a:solidFill>
              <a:latin typeface="Calibri"/>
              <a:ea typeface="Calibri"/>
              <a:cs typeface="Calibri"/>
            </a:rPr>
            <a:t>Median</a:t>
          </a:r>
          <a:r>
            <a:rPr lang="en-US" sz="2200" b="0" i="0" u="none" strike="noStrike" baseline="0">
              <a:solidFill>
                <a:srgbClr val="000000"/>
              </a:solidFill>
              <a:latin typeface="Calibri"/>
              <a:ea typeface="Calibri"/>
              <a:cs typeface="Calibri"/>
            </a:rPr>
            <a:t> TAT</a:t>
          </a:r>
          <a:endParaRPr lang="en-US" sz="2200" b="0" i="0" u="none" strike="noStrike">
            <a:solidFill>
              <a:srgbClr val="000000"/>
            </a:solidFill>
            <a:latin typeface="Calibri"/>
            <a:ea typeface="Calibri"/>
            <a:cs typeface="Calibri"/>
          </a:endParaRPr>
        </a:p>
        <a:p>
          <a:pPr algn="ctr"/>
          <a:fld id="{BAD8B691-7DB2-45DF-AEBB-BFCD18929EDF}" type="TxLink">
            <a:rPr lang="en-US" sz="2200" b="0" i="0" u="none" strike="noStrike">
              <a:solidFill>
                <a:srgbClr val="000000"/>
              </a:solidFill>
              <a:latin typeface="Calibri"/>
              <a:ea typeface="Calibri"/>
              <a:cs typeface="Calibri"/>
            </a:rPr>
            <a:t>167</a:t>
          </a:fld>
          <a:endParaRPr lang="en-AI" sz="1800"/>
        </a:p>
      </xdr:txBody>
    </xdr:sp>
    <xdr:clientData/>
  </xdr:twoCellAnchor>
  <xdr:twoCellAnchor>
    <xdr:from>
      <xdr:col>4</xdr:col>
      <xdr:colOff>0</xdr:colOff>
      <xdr:row>4</xdr:row>
      <xdr:rowOff>0</xdr:rowOff>
    </xdr:from>
    <xdr:to>
      <xdr:col>6</xdr:col>
      <xdr:colOff>-1</xdr:colOff>
      <xdr:row>9</xdr:row>
      <xdr:rowOff>0</xdr:rowOff>
    </xdr:to>
    <xdr:sp macro="" textlink="Pivot_KPI!B4">
      <xdr:nvSpPr>
        <xdr:cNvPr id="23" name="TextBox 22">
          <a:extLst>
            <a:ext uri="{FF2B5EF4-FFF2-40B4-BE49-F238E27FC236}">
              <a16:creationId xmlns:a16="http://schemas.microsoft.com/office/drawing/2014/main" id="{3AD4950C-4F92-4159-BE80-387FB1F425F6}"/>
            </a:ext>
          </a:extLst>
        </xdr:cNvPr>
        <xdr:cNvSpPr txBox="1"/>
      </xdr:nvSpPr>
      <xdr:spPr>
        <a:xfrm>
          <a:off x="5470071" y="870857"/>
          <a:ext cx="3265714" cy="938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0" i="0" u="none" strike="noStrike">
              <a:solidFill>
                <a:srgbClr val="000000"/>
              </a:solidFill>
              <a:latin typeface="Calibri"/>
              <a:ea typeface="Calibri"/>
              <a:cs typeface="Calibri"/>
            </a:rPr>
            <a:t>Max TAT</a:t>
          </a:r>
        </a:p>
        <a:p>
          <a:pPr algn="ctr"/>
          <a:fld id="{FC6ED931-D12D-4A6C-BBA9-D61EAA66C77E}" type="TxLink">
            <a:rPr lang="en-US" sz="2200" b="0" i="0" u="none" strike="noStrike">
              <a:solidFill>
                <a:srgbClr val="000000"/>
              </a:solidFill>
              <a:latin typeface="Calibri"/>
              <a:ea typeface="Calibri"/>
              <a:cs typeface="Calibri"/>
            </a:rPr>
            <a:t>464</a:t>
          </a:fld>
          <a:endParaRPr lang="en-US" sz="2000" b="1" u="none" baseline="0"/>
        </a:p>
      </xdr:txBody>
    </xdr:sp>
    <xdr:clientData/>
  </xdr:twoCellAnchor>
  <xdr:twoCellAnchor>
    <xdr:from>
      <xdr:col>6</xdr:col>
      <xdr:colOff>0</xdr:colOff>
      <xdr:row>4</xdr:row>
      <xdr:rowOff>0</xdr:rowOff>
    </xdr:from>
    <xdr:to>
      <xdr:col>11</xdr:col>
      <xdr:colOff>0</xdr:colOff>
      <xdr:row>9</xdr:row>
      <xdr:rowOff>0</xdr:rowOff>
    </xdr:to>
    <xdr:sp macro="" textlink="Pivot_KPI!C4">
      <xdr:nvSpPr>
        <xdr:cNvPr id="24" name="TextBox 23">
          <a:extLst>
            <a:ext uri="{FF2B5EF4-FFF2-40B4-BE49-F238E27FC236}">
              <a16:creationId xmlns:a16="http://schemas.microsoft.com/office/drawing/2014/main" id="{39E59301-2CE3-4EF7-935D-2DBC2BB9D780}"/>
            </a:ext>
          </a:extLst>
        </xdr:cNvPr>
        <xdr:cNvSpPr txBox="1"/>
      </xdr:nvSpPr>
      <xdr:spPr>
        <a:xfrm>
          <a:off x="8735786" y="870857"/>
          <a:ext cx="3061607" cy="938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0" i="0" u="none" strike="noStrike">
              <a:solidFill>
                <a:srgbClr val="000000"/>
              </a:solidFill>
              <a:latin typeface="Calibri"/>
              <a:ea typeface="Calibri"/>
              <a:cs typeface="Calibri"/>
            </a:rPr>
            <a:t>Test Volume</a:t>
          </a:r>
        </a:p>
        <a:p>
          <a:pPr algn="ctr"/>
          <a:fld id="{2039C9CE-3804-4906-87C0-9AF41946D002}" type="TxLink">
            <a:rPr lang="en-US" sz="2200" b="0" i="0" u="none" strike="noStrike">
              <a:solidFill>
                <a:srgbClr val="000000"/>
              </a:solidFill>
              <a:latin typeface="Calibri"/>
              <a:ea typeface="Calibri"/>
              <a:cs typeface="Calibri"/>
            </a:rPr>
            <a:t>199</a:t>
          </a:fld>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xdr:colOff>
      <xdr:row>5</xdr:row>
      <xdr:rowOff>0</xdr:rowOff>
    </xdr:to>
    <xdr:sp macro="" textlink="">
      <xdr:nvSpPr>
        <xdr:cNvPr id="2" name="Rectangle 1">
          <a:extLst>
            <a:ext uri="{FF2B5EF4-FFF2-40B4-BE49-F238E27FC236}">
              <a16:creationId xmlns:a16="http://schemas.microsoft.com/office/drawing/2014/main" id="{6B8EDC59-22F9-4B8C-934C-660D58FD77D8}"/>
            </a:ext>
          </a:extLst>
        </xdr:cNvPr>
        <xdr:cNvSpPr/>
      </xdr:nvSpPr>
      <xdr:spPr>
        <a:xfrm>
          <a:off x="0" y="0"/>
          <a:ext cx="12246428" cy="95250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I" sz="1100"/>
        </a:p>
      </xdr:txBody>
    </xdr:sp>
    <xdr:clientData/>
  </xdr:twoCellAnchor>
  <xdr:twoCellAnchor>
    <xdr:from>
      <xdr:col>0</xdr:col>
      <xdr:colOff>445481</xdr:colOff>
      <xdr:row>0</xdr:row>
      <xdr:rowOff>119247</xdr:rowOff>
    </xdr:from>
    <xdr:to>
      <xdr:col>18</xdr:col>
      <xdr:colOff>266700</xdr:colOff>
      <xdr:row>4</xdr:row>
      <xdr:rowOff>53233</xdr:rowOff>
    </xdr:to>
    <xdr:sp macro="" textlink="">
      <xdr:nvSpPr>
        <xdr:cNvPr id="3" name="TextBox 2">
          <a:extLst>
            <a:ext uri="{FF2B5EF4-FFF2-40B4-BE49-F238E27FC236}">
              <a16:creationId xmlns:a16="http://schemas.microsoft.com/office/drawing/2014/main" id="{23B0B632-51A5-4F40-84AA-5CF808B4A3A6}"/>
            </a:ext>
          </a:extLst>
        </xdr:cNvPr>
        <xdr:cNvSpPr txBox="1"/>
      </xdr:nvSpPr>
      <xdr:spPr>
        <a:xfrm>
          <a:off x="445481" y="119247"/>
          <a:ext cx="10843005" cy="6959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Molecular Diagnostics Turnaround Time</a:t>
          </a:r>
          <a:r>
            <a:rPr lang="en-US" sz="1800" b="1" baseline="0"/>
            <a:t> (TAT) Analysis</a:t>
          </a:r>
        </a:p>
        <a:p>
          <a:pPr algn="ctr"/>
          <a:r>
            <a:rPr lang="en-US" sz="1400" b="1"/>
            <a:t>Operational Workflow Performance Dashboard</a:t>
          </a:r>
        </a:p>
      </xdr:txBody>
    </xdr:sp>
    <xdr:clientData/>
  </xdr:twoCellAnchor>
  <xdr:twoCellAnchor>
    <xdr:from>
      <xdr:col>0</xdr:col>
      <xdr:colOff>0</xdr:colOff>
      <xdr:row>5</xdr:row>
      <xdr:rowOff>0</xdr:rowOff>
    </xdr:from>
    <xdr:to>
      <xdr:col>20</xdr:col>
      <xdr:colOff>0</xdr:colOff>
      <xdr:row>11</xdr:row>
      <xdr:rowOff>175260</xdr:rowOff>
    </xdr:to>
    <xdr:sp macro="" textlink="">
      <xdr:nvSpPr>
        <xdr:cNvPr id="5" name="TextBox 4">
          <a:extLst>
            <a:ext uri="{FF2B5EF4-FFF2-40B4-BE49-F238E27FC236}">
              <a16:creationId xmlns:a16="http://schemas.microsoft.com/office/drawing/2014/main" id="{BB9D1017-E871-4583-9190-926E38E2BAEF}"/>
            </a:ext>
          </a:extLst>
        </xdr:cNvPr>
        <xdr:cNvSpPr txBox="1"/>
      </xdr:nvSpPr>
      <xdr:spPr>
        <a:xfrm>
          <a:off x="0" y="952500"/>
          <a:ext cx="12246429"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baseline="0"/>
            <a:t>Turnaround Time Definition</a:t>
          </a:r>
        </a:p>
        <a:p>
          <a:pPr algn="l"/>
          <a:r>
            <a:rPr lang="en-US" sz="1200"/>
            <a:t>Turnaround Time (TAT) was calculated as the time difference between </a:t>
          </a:r>
          <a:br>
            <a:rPr lang="en-US" sz="1200"/>
          </a:br>
          <a:r>
            <a:rPr lang="en-US" sz="1200"/>
            <a:t>specimen order time and final result reporting time.</a:t>
          </a:r>
        </a:p>
        <a:p>
          <a:pPr algn="l"/>
          <a:r>
            <a:rPr lang="en-US" sz="1200" i="1"/>
            <a:t>TAT = Result Time – Order Time</a:t>
          </a:r>
          <a:endParaRPr lang="en-AI" sz="1200" b="1" i="1"/>
        </a:p>
      </xdr:txBody>
    </xdr:sp>
    <xdr:clientData/>
  </xdr:twoCellAnchor>
  <xdr:twoCellAnchor>
    <xdr:from>
      <xdr:col>0</xdr:col>
      <xdr:colOff>0</xdr:colOff>
      <xdr:row>12</xdr:row>
      <xdr:rowOff>0</xdr:rowOff>
    </xdr:from>
    <xdr:to>
      <xdr:col>20</xdr:col>
      <xdr:colOff>0</xdr:colOff>
      <xdr:row>27</xdr:row>
      <xdr:rowOff>0</xdr:rowOff>
    </xdr:to>
    <xdr:sp macro="" textlink="">
      <xdr:nvSpPr>
        <xdr:cNvPr id="6" name="TextBox 5">
          <a:extLst>
            <a:ext uri="{FF2B5EF4-FFF2-40B4-BE49-F238E27FC236}">
              <a16:creationId xmlns:a16="http://schemas.microsoft.com/office/drawing/2014/main" id="{10AC06EA-D519-4085-8D9A-7B8986A4DE9D}"/>
            </a:ext>
          </a:extLst>
        </xdr:cNvPr>
        <xdr:cNvSpPr txBox="1"/>
      </xdr:nvSpPr>
      <xdr:spPr>
        <a:xfrm>
          <a:off x="0" y="2286000"/>
          <a:ext cx="12246429"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Dataset</a:t>
          </a:r>
          <a:r>
            <a:rPr lang="en-US" sz="1600" b="1" baseline="0"/>
            <a:t> Structure</a:t>
          </a:r>
        </a:p>
        <a:p>
          <a:pPr algn="l"/>
          <a:r>
            <a:rPr lang="en-US" sz="1100" b="0" baseline="0"/>
            <a:t>The dataset represents simulated molecular diagnostic workflow records.</a:t>
          </a:r>
        </a:p>
        <a:p>
          <a:pPr algn="l"/>
          <a:endParaRPr lang="en-US" sz="1100" b="0" baseline="0"/>
        </a:p>
        <a:p>
          <a:pPr algn="l"/>
          <a:r>
            <a:rPr lang="en-US" sz="1100" b="0" baseline="0"/>
            <a:t>Each record contains the following fields:</a:t>
          </a:r>
        </a:p>
        <a:p>
          <a:pPr algn="l"/>
          <a:endParaRPr lang="en-US" sz="1100" b="0" baseline="0"/>
        </a:p>
        <a:p>
          <a:pPr algn="l"/>
          <a:r>
            <a:rPr lang="en-US" sz="1100" b="0" baseline="0"/>
            <a:t>• Specimen ID</a:t>
          </a:r>
        </a:p>
        <a:p>
          <a:pPr algn="l"/>
          <a:r>
            <a:rPr lang="en-US" sz="1100" b="0" baseline="0"/>
            <a:t>• Test Type</a:t>
          </a:r>
        </a:p>
        <a:p>
          <a:pPr algn="l"/>
          <a:r>
            <a:rPr lang="en-US" sz="1100" b="0" baseline="0"/>
            <a:t>• Instrument Platform</a:t>
          </a:r>
        </a:p>
        <a:p>
          <a:pPr algn="l"/>
          <a:r>
            <a:rPr lang="en-US" sz="1100" b="0" baseline="0"/>
            <a:t>• Hospital Location</a:t>
          </a:r>
        </a:p>
        <a:p>
          <a:pPr algn="l"/>
          <a:r>
            <a:rPr lang="en-US" sz="1100" b="0" baseline="0"/>
            <a:t>• Operational Shift</a:t>
          </a:r>
        </a:p>
        <a:p>
          <a:pPr algn="l"/>
          <a:r>
            <a:rPr lang="en-US" sz="1100" b="0" baseline="0"/>
            <a:t>• Order Time</a:t>
          </a:r>
        </a:p>
        <a:p>
          <a:pPr algn="l"/>
          <a:r>
            <a:rPr lang="en-US" sz="1100" b="0" baseline="0"/>
            <a:t>• Result Time</a:t>
          </a:r>
        </a:p>
        <a:p>
          <a:pPr algn="l"/>
          <a:r>
            <a:rPr lang="en-US" sz="1100" b="0" baseline="0"/>
            <a:t>• Calculated Turnaround Time (hours)</a:t>
          </a:r>
        </a:p>
      </xdr:txBody>
    </xdr:sp>
    <xdr:clientData/>
  </xdr:twoCellAnchor>
  <xdr:twoCellAnchor>
    <xdr:from>
      <xdr:col>0</xdr:col>
      <xdr:colOff>0</xdr:colOff>
      <xdr:row>27</xdr:row>
      <xdr:rowOff>16424</xdr:rowOff>
    </xdr:from>
    <xdr:to>
      <xdr:col>19</xdr:col>
      <xdr:colOff>608103</xdr:colOff>
      <xdr:row>40</xdr:row>
      <xdr:rowOff>0</xdr:rowOff>
    </xdr:to>
    <xdr:sp macro="" textlink="">
      <xdr:nvSpPr>
        <xdr:cNvPr id="10" name="TextBox 9">
          <a:extLst>
            <a:ext uri="{FF2B5EF4-FFF2-40B4-BE49-F238E27FC236}">
              <a16:creationId xmlns:a16="http://schemas.microsoft.com/office/drawing/2014/main" id="{F6711681-E2E9-21C7-8B98-9257290AC14F}"/>
            </a:ext>
          </a:extLst>
        </xdr:cNvPr>
        <xdr:cNvSpPr txBox="1"/>
      </xdr:nvSpPr>
      <xdr:spPr>
        <a:xfrm>
          <a:off x="0" y="5159924"/>
          <a:ext cx="12242210" cy="246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Analytical Methods</a:t>
          </a:r>
          <a:endParaRPr lang="en-US" sz="1600" b="1" baseline="0"/>
        </a:p>
        <a:p>
          <a:pPr algn="l"/>
          <a:r>
            <a:rPr lang="en-US" sz="1200"/>
            <a:t>Pivot tables were used to calculate aggregated metrics including:</a:t>
          </a:r>
        </a:p>
        <a:p>
          <a:pPr algn="l"/>
          <a:endParaRPr lang="en-US" sz="1200"/>
        </a:p>
        <a:p>
          <a:pPr algn="l"/>
          <a:r>
            <a:rPr lang="en-US" sz="1200"/>
            <a:t>• Average turnaround time by instrument platform</a:t>
          </a:r>
        </a:p>
        <a:p>
          <a:pPr algn="l"/>
          <a:r>
            <a:rPr lang="en-US" sz="1200"/>
            <a:t>• Average turnaround time by hospital location</a:t>
          </a:r>
        </a:p>
        <a:p>
          <a:pPr algn="l"/>
          <a:r>
            <a:rPr lang="en-US" sz="1200"/>
            <a:t>• Average turnaround time by operational shift</a:t>
          </a:r>
        </a:p>
        <a:p>
          <a:pPr algn="l"/>
          <a:r>
            <a:rPr lang="en-US" sz="1200"/>
            <a:t>• Test volume by platform</a:t>
          </a:r>
        </a:p>
        <a:p>
          <a:pPr algn="l"/>
          <a:endParaRPr lang="en-US" sz="1200"/>
        </a:p>
        <a:p>
          <a:pPr algn="l"/>
          <a:r>
            <a:rPr lang="en-US" sz="1200"/>
            <a:t>These aggregated metrics were visualized using Excel charts </a:t>
          </a:r>
        </a:p>
        <a:p>
          <a:pPr algn="l"/>
          <a:r>
            <a:rPr lang="en-US" sz="1200"/>
            <a:t>to highlight operational trends in molecular testing workflow.</a:t>
          </a:r>
          <a:endParaRPr lang="en-AI" sz="1200" b="1"/>
        </a:p>
      </xdr:txBody>
    </xdr:sp>
    <xdr:clientData/>
  </xdr:twoCellAnchor>
  <xdr:twoCellAnchor>
    <xdr:from>
      <xdr:col>0</xdr:col>
      <xdr:colOff>0</xdr:colOff>
      <xdr:row>39</xdr:row>
      <xdr:rowOff>160692</xdr:rowOff>
    </xdr:from>
    <xdr:to>
      <xdr:col>20</xdr:col>
      <xdr:colOff>11832</xdr:colOff>
      <xdr:row>53</xdr:row>
      <xdr:rowOff>0</xdr:rowOff>
    </xdr:to>
    <xdr:sp macro="" textlink="">
      <xdr:nvSpPr>
        <xdr:cNvPr id="11" name="TextBox 10">
          <a:extLst>
            <a:ext uri="{FF2B5EF4-FFF2-40B4-BE49-F238E27FC236}">
              <a16:creationId xmlns:a16="http://schemas.microsoft.com/office/drawing/2014/main" id="{05C70503-E837-9A6B-C251-A9261D63721B}"/>
            </a:ext>
          </a:extLst>
        </xdr:cNvPr>
        <xdr:cNvSpPr txBox="1"/>
      </xdr:nvSpPr>
      <xdr:spPr>
        <a:xfrm>
          <a:off x="0" y="7590192"/>
          <a:ext cx="12258261" cy="25063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1"/>
        </a:p>
        <a:p>
          <a:pPr algn="l"/>
          <a:r>
            <a:rPr lang="en-US" sz="1600" b="1"/>
            <a:t>Dashboard</a:t>
          </a:r>
          <a:r>
            <a:rPr lang="en-US" sz="1600" b="1" baseline="0"/>
            <a:t> Metrics</a:t>
          </a:r>
        </a:p>
        <a:p>
          <a:pPr algn="l"/>
          <a:r>
            <a:rPr lang="en-US" sz="1100" b="0"/>
            <a:t>The dashboard includes the following key operational indicators:</a:t>
          </a:r>
        </a:p>
        <a:p>
          <a:pPr algn="l"/>
          <a:endParaRPr lang="en-US" sz="1100" b="0"/>
        </a:p>
        <a:p>
          <a:pPr algn="l"/>
          <a:r>
            <a:rPr lang="en-US" sz="1100" b="0"/>
            <a:t>• Average Turnaround Time</a:t>
          </a:r>
        </a:p>
        <a:p>
          <a:pPr algn="l"/>
          <a:r>
            <a:rPr lang="en-US" sz="1100" b="0"/>
            <a:t>• Median Turnaround Time</a:t>
          </a:r>
        </a:p>
        <a:p>
          <a:pPr algn="l"/>
          <a:r>
            <a:rPr lang="en-US" sz="1100" b="0"/>
            <a:t>• Longest Observed Turnaround Time</a:t>
          </a:r>
        </a:p>
        <a:p>
          <a:pPr algn="l"/>
          <a:r>
            <a:rPr lang="en-US" sz="1100" b="0"/>
            <a:t>• Total Test Volume</a:t>
          </a:r>
        </a:p>
        <a:p>
          <a:pPr algn="l"/>
          <a:endParaRPr lang="en-US" sz="1100" b="0"/>
        </a:p>
        <a:p>
          <a:pPr algn="l"/>
          <a:r>
            <a:rPr lang="en-US" sz="1100" b="0"/>
            <a:t>Interactive slicers allow filtering by instrument platform, </a:t>
          </a:r>
        </a:p>
        <a:p>
          <a:pPr algn="l"/>
          <a:r>
            <a:rPr lang="en-US" sz="1100" b="0"/>
            <a:t>location, operational shift, and test type.</a:t>
          </a:r>
        </a:p>
      </xdr:txBody>
    </xdr:sp>
    <xdr:clientData/>
  </xdr:twoCellAnchor>
  <xdr:twoCellAnchor>
    <xdr:from>
      <xdr:col>0</xdr:col>
      <xdr:colOff>0</xdr:colOff>
      <xdr:row>53</xdr:row>
      <xdr:rowOff>0</xdr:rowOff>
    </xdr:from>
    <xdr:to>
      <xdr:col>20</xdr:col>
      <xdr:colOff>23646</xdr:colOff>
      <xdr:row>66</xdr:row>
      <xdr:rowOff>0</xdr:rowOff>
    </xdr:to>
    <xdr:sp macro="" textlink="">
      <xdr:nvSpPr>
        <xdr:cNvPr id="12" name="TextBox 11">
          <a:extLst>
            <a:ext uri="{FF2B5EF4-FFF2-40B4-BE49-F238E27FC236}">
              <a16:creationId xmlns:a16="http://schemas.microsoft.com/office/drawing/2014/main" id="{ADF1301E-AF74-D931-886F-537E56C9A202}"/>
            </a:ext>
          </a:extLst>
        </xdr:cNvPr>
        <xdr:cNvSpPr txBox="1"/>
      </xdr:nvSpPr>
      <xdr:spPr>
        <a:xfrm>
          <a:off x="0" y="10096500"/>
          <a:ext cx="12270075"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600" b="1">
            <a:solidFill>
              <a:schemeClr val="dk1"/>
            </a:solidFill>
            <a:latin typeface="+mn-lt"/>
            <a:ea typeface="+mn-ea"/>
            <a:cs typeface="+mn-cs"/>
          </a:endParaRPr>
        </a:p>
        <a:p>
          <a:pPr marL="0" indent="0" algn="l"/>
          <a:r>
            <a:rPr lang="en-US" sz="1600" b="1">
              <a:solidFill>
                <a:schemeClr val="dk1"/>
              </a:solidFill>
              <a:latin typeface="+mn-lt"/>
              <a:ea typeface="+mn-ea"/>
              <a:cs typeface="+mn-cs"/>
            </a:rPr>
            <a:t>Workflow</a:t>
          </a:r>
          <a:r>
            <a:rPr lang="en-US" sz="1600" b="1" baseline="0">
              <a:solidFill>
                <a:schemeClr val="dk1"/>
              </a:solidFill>
              <a:latin typeface="+mn-lt"/>
              <a:ea typeface="+mn-ea"/>
              <a:cs typeface="+mn-cs"/>
            </a:rPr>
            <a:t> Turnaround Analysis</a:t>
          </a:r>
          <a:endParaRPr lang="en-US" sz="1600" b="1">
            <a:solidFill>
              <a:schemeClr val="dk1"/>
            </a:solidFill>
            <a:latin typeface="+mn-lt"/>
            <a:ea typeface="+mn-ea"/>
            <a:cs typeface="+mn-cs"/>
          </a:endParaRPr>
        </a:p>
        <a:p>
          <a:pPr marL="0" indent="0" algn="l"/>
          <a:r>
            <a:rPr lang="en-US" sz="1200"/>
            <a:t>Workflow stage analysis evaluates turnaround time across three </a:t>
          </a:r>
          <a:br>
            <a:rPr lang="en-US" sz="1200"/>
          </a:br>
          <a:r>
            <a:rPr lang="en-US" sz="1200"/>
            <a:t>primary stages of molecular diagnostic testing:</a:t>
          </a:r>
          <a:br>
            <a:rPr lang="en-US" sz="1200"/>
          </a:br>
          <a:br>
            <a:rPr lang="en-US" sz="1200"/>
          </a:br>
          <a:r>
            <a:rPr lang="en-US" sz="1200"/>
            <a:t>1. Order to Collection</a:t>
          </a:r>
          <a:br>
            <a:rPr lang="en-US" sz="1200"/>
          </a:br>
          <a:r>
            <a:rPr lang="en-US" sz="1200"/>
            <a:t>2. Collection to Processing</a:t>
          </a:r>
          <a:br>
            <a:rPr lang="en-US" sz="1200"/>
          </a:br>
          <a:r>
            <a:rPr lang="en-US" sz="1200"/>
            <a:t>3. Processing to Final Result</a:t>
          </a:r>
          <a:br>
            <a:rPr lang="en-US" sz="1200"/>
          </a:br>
          <a:br>
            <a:rPr lang="en-US" sz="1200"/>
          </a:br>
          <a:r>
            <a:rPr lang="en-US" sz="1200"/>
            <a:t>This breakdown highlights where the majority of turnaround time </a:t>
          </a:r>
          <a:br>
            <a:rPr lang="en-US" sz="1200"/>
          </a:br>
          <a:r>
            <a:rPr lang="en-US" sz="1200"/>
            <a:t>occurs within the molecular testing process.</a:t>
          </a:r>
          <a:endParaRPr lang="en-US" sz="1200" b="1">
            <a:solidFill>
              <a:schemeClr val="dk1"/>
            </a:solidFill>
            <a:latin typeface="+mn-lt"/>
            <a:ea typeface="+mn-ea"/>
            <a:cs typeface="+mn-cs"/>
          </a:endParaRPr>
        </a:p>
      </xdr:txBody>
    </xdr:sp>
    <xdr:clientData/>
  </xdr:twoCellAnchor>
  <xdr:twoCellAnchor>
    <xdr:from>
      <xdr:col>0</xdr:col>
      <xdr:colOff>0</xdr:colOff>
      <xdr:row>66</xdr:row>
      <xdr:rowOff>0</xdr:rowOff>
    </xdr:from>
    <xdr:to>
      <xdr:col>20</xdr:col>
      <xdr:colOff>23646</xdr:colOff>
      <xdr:row>79</xdr:row>
      <xdr:rowOff>0</xdr:rowOff>
    </xdr:to>
    <xdr:sp macro="" textlink="">
      <xdr:nvSpPr>
        <xdr:cNvPr id="17" name="TextBox 16">
          <a:extLst>
            <a:ext uri="{FF2B5EF4-FFF2-40B4-BE49-F238E27FC236}">
              <a16:creationId xmlns:a16="http://schemas.microsoft.com/office/drawing/2014/main" id="{49B32082-C2FE-4113-B6CE-5CFC7C5BC54E}"/>
            </a:ext>
          </a:extLst>
        </xdr:cNvPr>
        <xdr:cNvSpPr txBox="1"/>
      </xdr:nvSpPr>
      <xdr:spPr>
        <a:xfrm>
          <a:off x="0" y="12573000"/>
          <a:ext cx="12270075"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600" b="1">
            <a:solidFill>
              <a:schemeClr val="dk1"/>
            </a:solidFill>
            <a:latin typeface="+mn-lt"/>
            <a:ea typeface="+mn-ea"/>
            <a:cs typeface="+mn-cs"/>
          </a:endParaRPr>
        </a:p>
        <a:p>
          <a:pPr marL="0" indent="0" algn="l"/>
          <a:r>
            <a:rPr lang="en-US" sz="1600" b="1">
              <a:solidFill>
                <a:schemeClr val="dk1"/>
              </a:solidFill>
              <a:latin typeface="+mn-lt"/>
              <a:ea typeface="+mn-ea"/>
              <a:cs typeface="+mn-cs"/>
            </a:rPr>
            <a:t>Workflow Stage Calculation</a:t>
          </a:r>
        </a:p>
        <a:p>
          <a:pPr marL="0" indent="0" algn="l"/>
          <a:r>
            <a:rPr lang="en-US" sz="1200"/>
            <a:t>Turnaround time across workflow stages was calculated using </a:t>
          </a:r>
          <a:br>
            <a:rPr lang="en-US" sz="1200"/>
          </a:br>
          <a:r>
            <a:rPr lang="en-US" sz="1200"/>
            <a:t>pivot table aggregation to determine the average duration </a:t>
          </a:r>
          <a:br>
            <a:rPr lang="en-US" sz="1200"/>
          </a:br>
          <a:r>
            <a:rPr lang="en-US" sz="1200"/>
            <a:t>of each stage in the molecular testing process.</a:t>
          </a:r>
          <a:br>
            <a:rPr lang="en-US" sz="1200"/>
          </a:br>
          <a:br>
            <a:rPr lang="en-US" sz="1200"/>
          </a:br>
          <a:r>
            <a:rPr lang="en-US" sz="1200"/>
            <a:t>The pivot table results were then copied into a summary table </a:t>
          </a:r>
          <a:br>
            <a:rPr lang="en-US" sz="1200"/>
          </a:br>
          <a:r>
            <a:rPr lang="en-US" sz="1200"/>
            <a:t>used to generate the workflow breakdown visualization.</a:t>
          </a:r>
          <a:br>
            <a:rPr lang="en-US" sz="1200"/>
          </a:br>
          <a:br>
            <a:rPr lang="en-US" sz="1200"/>
          </a:br>
          <a:r>
            <a:rPr lang="en-US" sz="1200"/>
            <a:t>This step was performed to allow the chart to display </a:t>
          </a:r>
          <a:br>
            <a:rPr lang="en-US" sz="1200"/>
          </a:br>
          <a:r>
            <a:rPr lang="en-US" sz="1200"/>
            <a:t>aggregated workflow stage metrics in a simplified format.</a:t>
          </a:r>
          <a:endParaRPr lang="en-US" sz="1200" b="1">
            <a:solidFill>
              <a:schemeClr val="dk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0</xdr:rowOff>
    </xdr:from>
    <xdr:to>
      <xdr:col>2</xdr:col>
      <xdr:colOff>0</xdr:colOff>
      <xdr:row>19</xdr:row>
      <xdr:rowOff>0</xdr:rowOff>
    </xdr:to>
    <xdr:graphicFrame macro="">
      <xdr:nvGraphicFramePr>
        <xdr:cNvPr id="2" name="Chart 1">
          <a:extLst>
            <a:ext uri="{FF2B5EF4-FFF2-40B4-BE49-F238E27FC236}">
              <a16:creationId xmlns:a16="http://schemas.microsoft.com/office/drawing/2014/main" id="{2A4782CF-DF1F-5BF0-EFDC-F88FBB9D5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171450</xdr:rowOff>
    </xdr:from>
    <xdr:to>
      <xdr:col>5</xdr:col>
      <xdr:colOff>314325</xdr:colOff>
      <xdr:row>21</xdr:row>
      <xdr:rowOff>57150</xdr:rowOff>
    </xdr:to>
    <xdr:graphicFrame macro="">
      <xdr:nvGraphicFramePr>
        <xdr:cNvPr id="2" name="Chart 1">
          <a:extLst>
            <a:ext uri="{FF2B5EF4-FFF2-40B4-BE49-F238E27FC236}">
              <a16:creationId xmlns:a16="http://schemas.microsoft.com/office/drawing/2014/main" id="{E0B8688F-8967-6D5F-010B-0AF3A4A32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8</xdr:row>
      <xdr:rowOff>161925</xdr:rowOff>
    </xdr:from>
    <xdr:to>
      <xdr:col>4</xdr:col>
      <xdr:colOff>276225</xdr:colOff>
      <xdr:row>23</xdr:row>
      <xdr:rowOff>47625</xdr:rowOff>
    </xdr:to>
    <xdr:graphicFrame macro="">
      <xdr:nvGraphicFramePr>
        <xdr:cNvPr id="3" name="Chart 2">
          <a:extLst>
            <a:ext uri="{FF2B5EF4-FFF2-40B4-BE49-F238E27FC236}">
              <a16:creationId xmlns:a16="http://schemas.microsoft.com/office/drawing/2014/main" id="{01D2958A-1D01-B9B9-9170-A18FCC02A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180975</xdr:rowOff>
    </xdr:from>
    <xdr:to>
      <xdr:col>5</xdr:col>
      <xdr:colOff>342900</xdr:colOff>
      <xdr:row>20</xdr:row>
      <xdr:rowOff>66675</xdr:rowOff>
    </xdr:to>
    <xdr:graphicFrame macro="">
      <xdr:nvGraphicFramePr>
        <xdr:cNvPr id="3" name="Chart 2">
          <a:extLst>
            <a:ext uri="{FF2B5EF4-FFF2-40B4-BE49-F238E27FC236}">
              <a16:creationId xmlns:a16="http://schemas.microsoft.com/office/drawing/2014/main" id="{32449489-477B-8046-7ABF-C62AD0628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6</xdr:row>
      <xdr:rowOff>180975</xdr:rowOff>
    </xdr:from>
    <xdr:to>
      <xdr:col>6</xdr:col>
      <xdr:colOff>219075</xdr:colOff>
      <xdr:row>21</xdr:row>
      <xdr:rowOff>66675</xdr:rowOff>
    </xdr:to>
    <xdr:graphicFrame macro="">
      <xdr:nvGraphicFramePr>
        <xdr:cNvPr id="3" name="Chart 2">
          <a:extLst>
            <a:ext uri="{FF2B5EF4-FFF2-40B4-BE49-F238E27FC236}">
              <a16:creationId xmlns:a16="http://schemas.microsoft.com/office/drawing/2014/main" id="{2DE3989A-9C0B-B86E-0A4E-686F26914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9.93343287037" createdVersion="8" refreshedVersion="8" minRefreshableVersion="3" recordCount="199" xr:uid="{E1790091-D406-44A8-A8D1-8C2E234195C1}">
  <cacheSource type="worksheet">
    <worksheetSource name="Table1"/>
  </cacheSource>
  <cacheFields count="15">
    <cacheField name="Order_ID" numFmtId="0">
      <sharedItems/>
    </cacheField>
    <cacheField name="Test_Name" numFmtId="0">
      <sharedItems count="7">
        <s v="C. difficile PCR"/>
        <s v="CT/NG PCR"/>
        <s v="Group B Strep PCR"/>
        <s v="Respiratory Panel PCR"/>
        <s v="MRSA Screen PCR"/>
        <s v="Blood Culture ID Panel"/>
        <s v="COVID/Flu PCR"/>
      </sharedItems>
    </cacheField>
    <cacheField name="Platform" numFmtId="0">
      <sharedItems count="4">
        <s v="BD Max"/>
        <s v="Panther"/>
        <s v="Revogene"/>
        <s v="BioFire"/>
      </sharedItems>
    </cacheField>
    <cacheField name="Specimen_Type" numFmtId="0">
      <sharedItems/>
    </cacheField>
    <cacheField name="Location" numFmtId="0">
      <sharedItems count="6">
        <s v="Emergency Department"/>
        <s v="Urgent Care"/>
        <s v="Outpatient Clinic"/>
        <s v="Inpatient"/>
        <s v="ICU"/>
        <s v="L&amp;D"/>
      </sharedItems>
    </cacheField>
    <cacheField name="Order_Time" numFmtId="164">
      <sharedItems containsSemiMixedTypes="0" containsNonDate="0" containsDate="1" containsString="0" minDate="2026-03-01T06:13:00" maxDate="2026-03-07T22:59:00"/>
    </cacheField>
    <cacheField name="Collected_Time " numFmtId="164">
      <sharedItems containsSemiMixedTypes="0" containsNonDate="0" containsDate="1" containsString="0" minDate="2026-03-01T06:35:00" maxDate="2026-03-07T23:26:00"/>
    </cacheField>
    <cacheField name="Received_Time " numFmtId="164">
      <sharedItems containsSemiMixedTypes="0" containsNonDate="0" containsDate="1" containsString="0" minDate="2026-03-01T07:04:00" maxDate="2026-03-07T23:52:00"/>
    </cacheField>
    <cacheField name="Result_Time" numFmtId="164">
      <sharedItems containsSemiMixedTypes="0" containsNonDate="0" containsDate="1" containsString="0" minDate="2026-03-01T08:57:00" maxDate="2026-03-08T03:49:00"/>
    </cacheField>
    <cacheField name="Shift " numFmtId="0">
      <sharedItems count="3">
        <s v="Evening"/>
        <s v="Day"/>
        <s v="Night"/>
      </sharedItems>
    </cacheField>
    <cacheField name="Order_to_Collect_Min" numFmtId="1">
      <sharedItems containsSemiMixedTypes="0" containsString="0" containsNumber="1" minValue="4.9999999953433871" maxValue="30.00000000349246"/>
    </cacheField>
    <cacheField name="Collect_to_Receive_Min" numFmtId="1">
      <sharedItems containsSemiMixedTypes="0" containsString="0" containsNumber="1" minValue="4.9999999953433871" maxValue="30.00000000349246"/>
    </cacheField>
    <cacheField name="Receive_to_Result_Min" numFmtId="1">
      <sharedItems containsSemiMixedTypes="0" containsString="0" containsNumber="1" minValue="59.99999999650754" maxValue="415.00000000116415"/>
    </cacheField>
    <cacheField name="Total_TAT_Min" numFmtId="1">
      <sharedItems containsSemiMixedTypes="0" containsString="0" containsNumber="1" minValue="86.000000007916242" maxValue="464.00000000372529"/>
    </cacheField>
    <cacheField name="QA_Flag" numFmtId="0">
      <sharedItems/>
    </cacheField>
  </cacheFields>
  <extLst>
    <ext xmlns:x14="http://schemas.microsoft.com/office/spreadsheetml/2009/9/main" uri="{725AE2AE-9491-48be-B2B4-4EB974FC3084}">
      <x14:pivotCacheDefinition pivotCacheId="15432696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 Henderson" refreshedDate="46094.644205555553" createdVersion="8" refreshedVersion="8" minRefreshableVersion="3" recordCount="201" xr:uid="{DE3BD715-A2B5-4839-828D-9FE9CA775EDF}">
  <cacheSource type="worksheet">
    <worksheetSource ref="N1:N1048576" sheet="Raw_Molecular_TAT_Data"/>
  </cacheSource>
  <cacheFields count="1">
    <cacheField name="Total_TAT_Min" numFmtId="1">
      <sharedItems containsString="0" containsBlank="1" containsNumber="1" minValue="86.000000007916242" maxValue="464.00000000372529" count="159">
        <n v="464.00000000372529"/>
        <n v="451.99999999604188"/>
        <n v="439.99999999883585"/>
        <n v="431.00000000093132"/>
        <n v="428.00000000162981"/>
        <n v="427.00000000884756"/>
        <n v="423.99999999906868"/>
        <n v="419.99999999650754"/>
        <n v="418.00000000046566"/>
        <n v="416.00000000442378"/>
        <n v="406.00000001373701"/>
        <n v="405.99999999278225"/>
        <n v="400.99999999743886"/>
        <n v="397.0000000053551"/>
        <n v="394.99999999883585"/>
        <n v="387.9999999969732"/>
        <n v="382.00000000884756"/>
        <n v="371.99999999720603"/>
        <n v="368.00000000512227"/>
        <n v="366.0000000090804"/>
        <n v="365.99999999860302"/>
        <n v="364.99999999534339"/>
        <n v="359.00000000721775"/>
        <n v="345.99999999627471"/>
        <n v="333.99999999906868"/>
        <n v="319.00000000256114"/>
        <n v="316.99999999604188"/>
        <n v="306.00000000209548"/>
        <n v="304.99999999883585"/>
        <n v="302.99999999231659"/>
        <n v="299.99999999301508"/>
        <n v="298.00000000745058"/>
        <n v="297.9999999969732"/>
        <n v="295.99999999045394"/>
        <n v="290.00000000232831"/>
        <n v="287.99999999580905"/>
        <n v="286.00000001024455"/>
        <n v="285.99999998928979"/>
        <n v="285.00000000698492"/>
        <n v="283.00000001094304"/>
        <n v="280.00000000116415"/>
        <n v="277.00000000186265"/>
        <n v="272.00000000651926"/>
        <n v="270"/>
        <n v="268.00000000395812"/>
        <n v="265.99999999743886"/>
        <n v="261.00000000209548"/>
        <n v="256.00000000675209"/>
        <n v="255.00000000349246"/>
        <n v="249.99999999767169"/>
        <n v="248.00000000162981"/>
        <n v="242.99999999580905"/>
        <n v="236.99999999720603"/>
        <n v="233.99999999790452"/>
        <n v="232.9999999946449"/>
        <n v="227.99999999930151"/>
        <n v="226.00000000325963"/>
        <n v="222.00000000069849"/>
        <n v="220.00000000465661"/>
        <n v="219.99999999417923"/>
        <n v="218.00000000861473"/>
        <n v="216.00000000209548"/>
        <n v="214.99999999883585"/>
        <n v="211.99999999953434"/>
        <n v="209.99999999301508"/>
        <n v="207.00000000419095"/>
        <n v="204.99999999767169"/>
        <n v="202.00000000884756"/>
        <n v="200.00000000232831"/>
        <n v="198.99999999906868"/>
        <n v="194.00000000372529"/>
        <n v="193.00000000046566"/>
        <n v="190.00000000116415"/>
        <n v="186.99999999138527"/>
        <n v="185.99999999860302"/>
        <n v="184.99999999534339"/>
        <n v="184.00000000256114"/>
        <n v="182.99999999930151"/>
        <n v="181.00000000325963"/>
        <n v="178.00000000395812"/>
        <n v="177.99999999348074"/>
        <n v="177.00000000069849"/>
        <n v="175.99999999743886"/>
        <n v="174.00000001187436"/>
        <n v="172.99999999813735"/>
        <n v="171.00000000209548"/>
        <n v="170.9999999916181"/>
        <n v="168.99999999557622"/>
        <n v="168.00000000279397"/>
        <n v="167.00000001001172"/>
        <n v="165.99999999627471"/>
        <n v="164.00000001071021"/>
        <n v="164.00000000023283"/>
        <n v="162.9999999969732"/>
        <n v="161.00000000093132"/>
        <n v="160.99999999045394"/>
        <n v="159.99999999767169"/>
        <n v="157.99999999115244"/>
        <n v="156.99999999837019"/>
        <n v="156.99999998789281"/>
        <n v="156.00000000558794"/>
        <n v="154.00000000954606"/>
        <n v="153.99999999906868"/>
        <n v="153.00000000628643"/>
        <n v="152.99999999580905"/>
        <n v="152.0000000030268"/>
        <n v="150.99999999976717"/>
        <n v="150.00000000698492"/>
        <n v="149.99999999650754"/>
        <n v="149.00000000372529"/>
        <n v="148.99999999324791"/>
        <n v="148.00000001094304"/>
        <n v="148.00000000046566"/>
        <n v="146.99999999720603"/>
        <n v="146.00000000442378"/>
        <n v="145.9999999939464"/>
        <n v="145.00000000116415"/>
        <n v="144.0000000083819"/>
        <n v="137.99999999930151"/>
        <n v="135"/>
        <n v="133.99999999674037"/>
        <n v="133.00000000395812"/>
        <n v="130.99999999743886"/>
        <n v="130.00000000465661"/>
        <n v="129.99999999417923"/>
        <n v="129.00000000139698"/>
        <n v="127.0000000053551"/>
        <n v="126.00000000209548"/>
        <n v="125.00000000931323"/>
        <n v="124.0000000060536"/>
        <n v="122.99999999231659"/>
        <n v="121.00000000675209"/>
        <n v="120.99999999627471"/>
        <n v="119.99999999301508"/>
        <n v="119.00000000023283"/>
        <n v="117.9999999969732"/>
        <n v="117.00000000419095"/>
        <n v="116.00000000093132"/>
        <n v="114.00000000488944"/>
        <n v="110.99999999511056"/>
        <n v="109.00000000954606"/>
        <n v="107.0000000030268"/>
        <n v="106.99999999254942"/>
        <n v="105.00000000698492"/>
        <n v="104.00000000372529"/>
        <n v="102.99999998998828"/>
        <n v="101.99999999720603"/>
        <n v="100.00000000116415"/>
        <n v="98.999999997904524"/>
        <n v="97.999999994644895"/>
        <n v="96.999999991385266"/>
        <n v="95.999999998603016"/>
        <n v="95.000000005820766"/>
        <n v="91.999999996041879"/>
        <n v="89.999999989522621"/>
        <n v="88.999999996740371"/>
        <n v="87.000000011175871"/>
        <n v="86.000000007916242"/>
        <m/>
      </sharedItems>
    </cacheField>
  </cacheFields>
  <extLst>
    <ext xmlns:x14="http://schemas.microsoft.com/office/spreadsheetml/2009/9/main" uri="{725AE2AE-9491-48be-B2B4-4EB974FC3084}">
      <x14:pivotCacheDefinition pivotCacheId="1771016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M635541"/>
    <x v="0"/>
    <x v="0"/>
    <s v="Stool"/>
    <x v="0"/>
    <d v="2026-03-05T14:44:00"/>
    <d v="2026-03-05T14:57:00"/>
    <d v="2026-03-05T15:17:00"/>
    <d v="2026-03-05T18:09:00"/>
    <x v="0"/>
    <n v="13.000000000465661"/>
    <n v="20.000000002328306"/>
    <n v="171.99999999487773"/>
    <n v="204.99999999767169"/>
    <s v="OK"/>
  </r>
  <r>
    <s v="M818711"/>
    <x v="1"/>
    <x v="1"/>
    <s v="Urine"/>
    <x v="1"/>
    <d v="2026-03-03T22:36:00"/>
    <d v="2026-03-03T23:05:00"/>
    <d v="2026-03-03T23:10:00"/>
    <d v="2026-03-04T03:39:00"/>
    <x v="1"/>
    <n v="29.000000000232831"/>
    <n v="4.9999999953433871"/>
    <n v="268.99999999674037"/>
    <n v="302.99999999231659"/>
    <s v="OK"/>
  </r>
  <r>
    <s v="M715773"/>
    <x v="2"/>
    <x v="2"/>
    <s v="Vaginal/Rectal Swab"/>
    <x v="2"/>
    <d v="2026-03-04T06:55:00"/>
    <d v="2026-03-04T07:08:00"/>
    <d v="2026-03-04T07:29:00"/>
    <d v="2026-03-04T09:33:00"/>
    <x v="1"/>
    <n v="13.000000000465661"/>
    <n v="20.999999995110556"/>
    <n v="123.99999999557622"/>
    <n v="157.99999999115244"/>
    <s v="OK"/>
  </r>
  <r>
    <s v="M590448"/>
    <x v="1"/>
    <x v="1"/>
    <s v="Urine"/>
    <x v="2"/>
    <d v="2026-03-05T14:46:00"/>
    <d v="2026-03-05T14:55:00"/>
    <d v="2026-03-05T15:23:00"/>
    <d v="2026-03-05T21:32:00"/>
    <x v="0"/>
    <n v="8.9999999979045242"/>
    <n v="27.999999996973202"/>
    <n v="368.99999999790452"/>
    <n v="405.99999999278225"/>
    <s v="OK"/>
  </r>
  <r>
    <s v="M243432"/>
    <x v="0"/>
    <x v="0"/>
    <s v="Stool"/>
    <x v="3"/>
    <d v="2026-03-05T14:44:00"/>
    <d v="2026-03-05T14:56:00"/>
    <d v="2026-03-05T15:12:00"/>
    <d v="2026-03-05T17:13:00"/>
    <x v="0"/>
    <n v="11.999999997206032"/>
    <n v="15.999999999767169"/>
    <n v="120.99999999627471"/>
    <n v="148.99999999324791"/>
    <s v="OK"/>
  </r>
  <r>
    <s v="M550715"/>
    <x v="3"/>
    <x v="3"/>
    <s v="NP Swab"/>
    <x v="3"/>
    <d v="2026-03-04T09:32:00"/>
    <d v="2026-03-04T09:59:00"/>
    <d v="2026-03-04T10:08:00"/>
    <d v="2026-03-04T11:30:00"/>
    <x v="1"/>
    <n v="27.000000004190952"/>
    <n v="8.9999999979045242"/>
    <n v="81.999999994877726"/>
    <n v="117.9999999969732"/>
    <s v="OK"/>
  </r>
  <r>
    <s v="M858488"/>
    <x v="1"/>
    <x v="1"/>
    <s v="Urine"/>
    <x v="1"/>
    <d v="2026-03-05T15:21:00"/>
    <d v="2026-03-05T15:29:00"/>
    <d v="2026-03-05T15:47:00"/>
    <d v="2026-03-05T21:56:00"/>
    <x v="0"/>
    <n v="8.0000000051222742"/>
    <n v="17.999999995809048"/>
    <n v="368.99999999790452"/>
    <n v="394.99999999883585"/>
    <s v="OK"/>
  </r>
  <r>
    <s v="M575549"/>
    <x v="1"/>
    <x v="1"/>
    <s v="Urine"/>
    <x v="2"/>
    <d v="2026-03-07T17:06:00"/>
    <d v="2026-03-07T17:33:00"/>
    <d v="2026-03-07T17:55:00"/>
    <d v="2026-03-07T23:12:00"/>
    <x v="2"/>
    <n v="27.000000004190952"/>
    <n v="21.999999998370185"/>
    <n v="316.99999999604188"/>
    <n v="365.99999999860302"/>
    <s v="OK"/>
  </r>
  <r>
    <s v="M488981"/>
    <x v="1"/>
    <x v="1"/>
    <s v="Urine"/>
    <x v="2"/>
    <d v="2026-03-07T06:37:00"/>
    <d v="2026-03-07T06:56:00"/>
    <d v="2026-03-07T07:11:00"/>
    <d v="2026-03-07T11:35:00"/>
    <x v="1"/>
    <n v="18.999999999068677"/>
    <n v="14.99999999650754"/>
    <n v="264.00000000139698"/>
    <n v="297.9999999969732"/>
    <s v="OK"/>
  </r>
  <r>
    <s v="M792806"/>
    <x v="0"/>
    <x v="0"/>
    <s v="Stool"/>
    <x v="0"/>
    <d v="2026-03-05T22:09:00"/>
    <d v="2026-03-05T22:26:00"/>
    <d v="2026-03-05T22:56:00"/>
    <d v="2026-03-06T02:55:00"/>
    <x v="1"/>
    <n v="17.000000003026798"/>
    <n v="30.00000000349246"/>
    <n v="239.00000000372529"/>
    <n v="286.00000001024455"/>
    <s v="OK"/>
  </r>
  <r>
    <s v="M609572"/>
    <x v="4"/>
    <x v="2"/>
    <s v="Swab"/>
    <x v="4"/>
    <d v="2026-03-06T13:51:00"/>
    <d v="2026-03-06T14:19:00"/>
    <d v="2026-03-06T14:27:00"/>
    <d v="2026-03-06T16:06:00"/>
    <x v="0"/>
    <n v="27.999999996973202"/>
    <n v="8.0000000051222742"/>
    <n v="98.999999997904524"/>
    <n v="135"/>
    <s v="OK"/>
  </r>
  <r>
    <s v="M845991"/>
    <x v="2"/>
    <x v="2"/>
    <s v="Vaginal/Rectal Swab"/>
    <x v="5"/>
    <d v="2026-03-02T15:20:00"/>
    <d v="2026-03-02T15:33:00"/>
    <d v="2026-03-02T15:41:00"/>
    <d v="2026-03-02T18:07:00"/>
    <x v="0"/>
    <n v="13.000000000465661"/>
    <n v="8.0000000051222742"/>
    <n v="146.00000000442378"/>
    <n v="167.00000001001172"/>
    <s v="OK"/>
  </r>
  <r>
    <s v="M165417"/>
    <x v="2"/>
    <x v="2"/>
    <s v="Vaginal/Rectal Swab"/>
    <x v="5"/>
    <d v="2026-03-02T06:04:00"/>
    <d v="2026-03-02T06:15:00"/>
    <d v="2026-03-02T06:45:00"/>
    <d v="2026-03-02T09:05:00"/>
    <x v="1"/>
    <n v="11.000000004423782"/>
    <n v="30.00000000349246"/>
    <n v="139.99999999534339"/>
    <n v="181.00000000325963"/>
    <s v="OK"/>
  </r>
  <r>
    <s v="M177670"/>
    <x v="1"/>
    <x v="1"/>
    <s v="Urine"/>
    <x v="1"/>
    <d v="2026-03-03T06:00:00"/>
    <d v="2026-03-03T06:13:00"/>
    <d v="2026-03-03T06:34:00"/>
    <d v="2026-03-03T10:56:00"/>
    <x v="1"/>
    <n v="13.000000000465661"/>
    <n v="20.999999995110556"/>
    <n v="261.99999999487773"/>
    <n v="295.99999999045394"/>
    <s v="OK"/>
  </r>
  <r>
    <s v="M830411"/>
    <x v="2"/>
    <x v="2"/>
    <s v="Vaginal/Rectal Swab"/>
    <x v="5"/>
    <d v="2026-03-06T17:46:00"/>
    <d v="2026-03-06T18:13:00"/>
    <d v="2026-03-06T18:34:00"/>
    <d v="2026-03-06T20:18:00"/>
    <x v="0"/>
    <n v="27.000000004190952"/>
    <n v="20.999999995110556"/>
    <n v="104.00000000372529"/>
    <n v="152.0000000030268"/>
    <s v="OK"/>
  </r>
  <r>
    <s v="M611840"/>
    <x v="2"/>
    <x v="2"/>
    <s v="Vaginal/Rectal Swab"/>
    <x v="5"/>
    <d v="2026-03-03T13:48:00"/>
    <d v="2026-03-03T14:01:00"/>
    <d v="2026-03-03T14:14:00"/>
    <d v="2026-03-03T15:49:00"/>
    <x v="0"/>
    <n v="13.000000000465661"/>
    <n v="13.000000000465661"/>
    <n v="94.999999995343387"/>
    <n v="120.99999999627471"/>
    <s v="OK"/>
  </r>
  <r>
    <s v="M843986"/>
    <x v="3"/>
    <x v="3"/>
    <s v="NP Swab"/>
    <x v="1"/>
    <d v="2026-03-06T10:48:00"/>
    <d v="2026-03-06T10:58:00"/>
    <d v="2026-03-06T11:27:00"/>
    <d v="2026-03-06T12:35:00"/>
    <x v="1"/>
    <n v="10.000000001164153"/>
    <n v="29.000000000232831"/>
    <n v="68.000000001629815"/>
    <n v="107.0000000030268"/>
    <s v="OK"/>
  </r>
  <r>
    <s v="M330224"/>
    <x v="2"/>
    <x v="2"/>
    <s v="Vaginal/Rectal Swab"/>
    <x v="5"/>
    <d v="2026-03-02T12:59:00"/>
    <d v="2026-03-02T13:25:00"/>
    <d v="2026-03-02T13:35:00"/>
    <d v="2026-03-02T15:24:00"/>
    <x v="0"/>
    <n v="26.000000000931323"/>
    <n v="10.000000001164153"/>
    <n v="108.99999999906868"/>
    <n v="145.00000000116415"/>
    <s v="OK"/>
  </r>
  <r>
    <s v="M935325"/>
    <x v="5"/>
    <x v="3"/>
    <s v="Blood Culture"/>
    <x v="4"/>
    <d v="2026-03-06T15:46:00"/>
    <d v="2026-03-06T16:05:00"/>
    <d v="2026-03-06T16:12:00"/>
    <d v="2026-03-06T17:28:00"/>
    <x v="0"/>
    <n v="18.999999999068677"/>
    <n v="7.0000000018626451"/>
    <n v="75.99999999627471"/>
    <n v="101.99999999720603"/>
    <s v="OK"/>
  </r>
  <r>
    <s v="M963854"/>
    <x v="4"/>
    <x v="2"/>
    <s v="Swab"/>
    <x v="3"/>
    <d v="2026-03-07T19:23:00"/>
    <d v="2026-03-07T19:50:00"/>
    <d v="2026-03-07T19:57:00"/>
    <d v="2026-03-07T22:07:00"/>
    <x v="0"/>
    <n v="27.000000004190952"/>
    <n v="7.0000000018626451"/>
    <n v="130.00000000465661"/>
    <n v="164.00000001071021"/>
    <s v="OK"/>
  </r>
  <r>
    <s v="M441364"/>
    <x v="2"/>
    <x v="2"/>
    <s v="Vaginal/Rectal Swab"/>
    <x v="2"/>
    <d v="2026-03-07T11:28:00"/>
    <d v="2026-03-07T11:39:00"/>
    <d v="2026-03-07T12:06:00"/>
    <d v="2026-03-07T13:56:00"/>
    <x v="1"/>
    <n v="11.000000004423782"/>
    <n v="27.000000004190952"/>
    <n v="110.00000000232831"/>
    <n v="148.00000001094304"/>
    <s v="OK"/>
  </r>
  <r>
    <s v="M137070"/>
    <x v="0"/>
    <x v="0"/>
    <s v="Stool"/>
    <x v="3"/>
    <d v="2026-03-06T11:47:00"/>
    <d v="2026-03-06T12:13:00"/>
    <d v="2026-03-06T12:42:00"/>
    <d v="2026-03-06T15:00:00"/>
    <x v="0"/>
    <n v="26.000000000931323"/>
    <n v="29.000000000232831"/>
    <n v="137.99999999930151"/>
    <n v="193.00000000046566"/>
    <s v="OK"/>
  </r>
  <r>
    <s v="M250668"/>
    <x v="1"/>
    <x v="1"/>
    <s v="Urine"/>
    <x v="2"/>
    <d v="2026-03-01T09:12:00"/>
    <d v="2026-03-01T09:40:00"/>
    <d v="2026-03-01T09:50:00"/>
    <d v="2026-03-01T16:20:00"/>
    <x v="0"/>
    <n v="27.999999996973202"/>
    <n v="10.000000001164153"/>
    <n v="390.00000000349246"/>
    <n v="428.00000000162981"/>
    <s v="OK"/>
  </r>
  <r>
    <s v="M679120"/>
    <x v="6"/>
    <x v="0"/>
    <s v="NP Swab"/>
    <x v="0"/>
    <d v="2026-03-06T22:11:00"/>
    <d v="2026-03-06T22:26:00"/>
    <d v="2026-03-06T22:37:00"/>
    <d v="2026-03-07T00:37:00"/>
    <x v="1"/>
    <n v="14.99999999650754"/>
    <n v="11.000000004423782"/>
    <n v="120.00000000349246"/>
    <n v="146.00000000442378"/>
    <s v="OK"/>
  </r>
  <r>
    <s v="M691827"/>
    <x v="0"/>
    <x v="0"/>
    <s v="Stool"/>
    <x v="0"/>
    <d v="2026-03-02T10:44:00"/>
    <d v="2026-03-02T10:56:00"/>
    <d v="2026-03-02T11:23:00"/>
    <d v="2026-03-02T14:54:00"/>
    <x v="1"/>
    <n v="11.999999997206032"/>
    <n v="27.000000004190952"/>
    <n v="210.99999999627471"/>
    <n v="249.99999999767169"/>
    <s v="OK"/>
  </r>
  <r>
    <s v="M354453"/>
    <x v="6"/>
    <x v="0"/>
    <s v="NP Swab"/>
    <x v="2"/>
    <d v="2026-03-07T14:54:00"/>
    <d v="2026-03-07T15:04:00"/>
    <d v="2026-03-07T15:27:00"/>
    <d v="2026-03-07T18:34:00"/>
    <x v="0"/>
    <n v="10.000000001164153"/>
    <n v="23.000000001629815"/>
    <n v="187.00000000186265"/>
    <n v="220.00000000465661"/>
    <s v="OK"/>
  </r>
  <r>
    <s v="M996250"/>
    <x v="2"/>
    <x v="2"/>
    <s v="Vaginal/Rectal Swab"/>
    <x v="5"/>
    <d v="2026-03-03T08:14:00"/>
    <d v="2026-03-03T08:35:00"/>
    <d v="2026-03-03T08:47:00"/>
    <d v="2026-03-03T10:55:00"/>
    <x v="1"/>
    <n v="20.999999995110556"/>
    <n v="11.999999997206032"/>
    <n v="127.99999999813735"/>
    <n v="160.99999999045394"/>
    <s v="OK"/>
  </r>
  <r>
    <s v="M515142"/>
    <x v="1"/>
    <x v="1"/>
    <s v="Urine"/>
    <x v="1"/>
    <d v="2026-03-07T12:43:00"/>
    <d v="2026-03-07T12:58:00"/>
    <d v="2026-03-07T13:17:00"/>
    <d v="2026-03-07T17:43:00"/>
    <x v="0"/>
    <n v="14.99999999650754"/>
    <n v="18.999999999068677"/>
    <n v="265.99999999743886"/>
    <n v="299.99999999301508"/>
    <s v="OK"/>
  </r>
  <r>
    <s v="M851435"/>
    <x v="0"/>
    <x v="0"/>
    <s v="Stool"/>
    <x v="0"/>
    <d v="2026-03-01T15:14:00"/>
    <d v="2026-03-01T15:40:00"/>
    <d v="2026-03-01T16:07:00"/>
    <d v="2026-03-01T18:18:00"/>
    <x v="0"/>
    <n v="26.000000000931323"/>
    <n v="27.000000004190952"/>
    <n v="130.99999999743886"/>
    <n v="184.00000000256114"/>
    <s v="OK"/>
  </r>
  <r>
    <s v="M923842"/>
    <x v="4"/>
    <x v="2"/>
    <s v="Swab"/>
    <x v="3"/>
    <d v="2026-03-02T06:03:00"/>
    <d v="2026-03-02T06:17:00"/>
    <d v="2026-03-02T06:37:00"/>
    <d v="2026-03-02T08:44:00"/>
    <x v="1"/>
    <n v="14.00000000372529"/>
    <n v="20.000000002328306"/>
    <n v="126.99999999487773"/>
    <n v="161.00000000093132"/>
    <s v="OK"/>
  </r>
  <r>
    <s v="M232315"/>
    <x v="1"/>
    <x v="1"/>
    <s v="Urine"/>
    <x v="1"/>
    <d v="2026-03-06T07:45:00"/>
    <d v="2026-03-06T08:07:00"/>
    <d v="2026-03-06T08:33:00"/>
    <d v="2026-03-06T15:17:00"/>
    <x v="0"/>
    <n v="21.999999998370185"/>
    <n v="26.000000000931323"/>
    <n v="403.99999999674037"/>
    <n v="451.99999999604188"/>
    <s v="OK"/>
  </r>
  <r>
    <s v="M871006"/>
    <x v="1"/>
    <x v="1"/>
    <s v="Urine"/>
    <x v="1"/>
    <d v="2026-03-06T19:03:00"/>
    <d v="2026-03-06T19:19:00"/>
    <d v="2026-03-06T19:29:00"/>
    <d v="2026-03-06T23:40:00"/>
    <x v="2"/>
    <n v="15.999999999767169"/>
    <n v="10.000000001164153"/>
    <n v="251.00000000093132"/>
    <n v="277.00000000186265"/>
    <s v="OK"/>
  </r>
  <r>
    <s v="M161597"/>
    <x v="3"/>
    <x v="3"/>
    <s v="NP Swab"/>
    <x v="3"/>
    <d v="2026-03-05T15:29:00"/>
    <d v="2026-03-05T15:47:00"/>
    <d v="2026-03-05T16:10:00"/>
    <d v="2026-03-05T17:16:00"/>
    <x v="0"/>
    <n v="17.999999995809048"/>
    <n v="23.000000001629815"/>
    <n v="65.999999995110556"/>
    <n v="106.99999999254942"/>
    <s v="OK"/>
  </r>
  <r>
    <s v="M160857"/>
    <x v="1"/>
    <x v="1"/>
    <s v="Urine"/>
    <x v="1"/>
    <d v="2026-03-04T06:23:00"/>
    <d v="2026-03-04T06:38:00"/>
    <d v="2026-03-04T07:03:00"/>
    <d v="2026-03-04T11:40:00"/>
    <x v="1"/>
    <n v="14.99999999650754"/>
    <n v="24.999999997671694"/>
    <n v="277.00000000186265"/>
    <n v="316.99999999604188"/>
    <s v="OK"/>
  </r>
  <r>
    <s v="M696542"/>
    <x v="2"/>
    <x v="2"/>
    <s v="Vaginal/Rectal Swab"/>
    <x v="5"/>
    <d v="2026-03-07T11:50:00"/>
    <d v="2026-03-07T12:00:00"/>
    <d v="2026-03-07T12:06:00"/>
    <d v="2026-03-07T14:20:00"/>
    <x v="1"/>
    <n v="10.000000001164153"/>
    <n v="5.9999999986030161"/>
    <n v="133.99999999674037"/>
    <n v="149.99999999650754"/>
    <s v="OK"/>
  </r>
  <r>
    <s v="M320049"/>
    <x v="3"/>
    <x v="3"/>
    <s v="NP Swab"/>
    <x v="3"/>
    <d v="2026-03-03T13:31:00"/>
    <d v="2026-03-03T13:52:00"/>
    <d v="2026-03-03T14:15:00"/>
    <d v="2026-03-03T15:27:00"/>
    <x v="0"/>
    <n v="20.999999995110556"/>
    <n v="23.000000001629815"/>
    <n v="72.000000004190952"/>
    <n v="116.00000000093132"/>
    <s v="OK"/>
  </r>
  <r>
    <s v="M192829"/>
    <x v="0"/>
    <x v="0"/>
    <s v="Stool"/>
    <x v="3"/>
    <d v="2026-03-02T06:14:00"/>
    <d v="2026-03-02T06:42:00"/>
    <d v="2026-03-02T06:51:00"/>
    <d v="2026-03-02T09:05:00"/>
    <x v="1"/>
    <n v="27.999999996973202"/>
    <n v="8.9999999979045242"/>
    <n v="133.99999999674037"/>
    <n v="170.9999999916181"/>
    <s v="OK"/>
  </r>
  <r>
    <s v="M935398"/>
    <x v="6"/>
    <x v="0"/>
    <s v="NP Swab"/>
    <x v="2"/>
    <d v="2026-03-04T09:25:00"/>
    <d v="2026-03-04T09:55:00"/>
    <d v="2026-03-04T10:18:00"/>
    <d v="2026-03-04T13:53:00"/>
    <x v="1"/>
    <n v="30.00000000349246"/>
    <n v="23.000000001629815"/>
    <n v="214.99999999883585"/>
    <n v="268.00000000395812"/>
    <s v="OK"/>
  </r>
  <r>
    <s v="M914547"/>
    <x v="3"/>
    <x v="3"/>
    <s v="NP Swab"/>
    <x v="3"/>
    <d v="2026-03-07T18:40:00"/>
    <d v="2026-03-07T18:46:00"/>
    <d v="2026-03-07T19:15:00"/>
    <d v="2026-03-07T20:18:00"/>
    <x v="0"/>
    <n v="5.9999999986030161"/>
    <n v="29.000000000232831"/>
    <n v="62.999999995809048"/>
    <n v="97.999999994644895"/>
    <s v="OK"/>
  </r>
  <r>
    <s v="M182230"/>
    <x v="5"/>
    <x v="3"/>
    <s v="Blood Culture"/>
    <x v="4"/>
    <d v="2026-03-01T18:00:00"/>
    <d v="2026-03-01T18:28:00"/>
    <d v="2026-03-01T18:54:00"/>
    <d v="2026-03-01T20:11:00"/>
    <x v="0"/>
    <n v="27.999999996973202"/>
    <n v="26.000000000931323"/>
    <n v="76.999999999534339"/>
    <n v="130.99999999743886"/>
    <s v="OK"/>
  </r>
  <r>
    <s v="M217997"/>
    <x v="6"/>
    <x v="0"/>
    <s v="NP Swab"/>
    <x v="2"/>
    <d v="2026-03-07T22:46:00"/>
    <d v="2026-03-07T23:05:00"/>
    <d v="2026-03-07T23:34:00"/>
    <d v="2026-03-08T02:54:00"/>
    <x v="1"/>
    <n v="18.999999999068677"/>
    <n v="29.000000000232831"/>
    <n v="200.00000000232831"/>
    <n v="248.00000000162981"/>
    <s v="OK"/>
  </r>
  <r>
    <s v="M520862"/>
    <x v="0"/>
    <x v="0"/>
    <s v="Stool"/>
    <x v="0"/>
    <d v="2026-03-06T16:05:00"/>
    <d v="2026-03-06T16:20:00"/>
    <d v="2026-03-06T16:44:00"/>
    <d v="2026-03-06T19:01:00"/>
    <x v="0"/>
    <n v="14.99999999650754"/>
    <n v="24.000000004889444"/>
    <n v="136.99999999604188"/>
    <n v="175.99999999743886"/>
    <s v="OK"/>
  </r>
  <r>
    <s v="M718115"/>
    <x v="4"/>
    <x v="2"/>
    <s v="Swab"/>
    <x v="3"/>
    <d v="2026-03-05T07:31:00"/>
    <d v="2026-03-05T07:57:00"/>
    <d v="2026-03-05T08:11:00"/>
    <d v="2026-03-05T10:02:00"/>
    <x v="1"/>
    <n v="26.000000000931323"/>
    <n v="14.00000000372529"/>
    <n v="110.99999999511056"/>
    <n v="150.99999999976717"/>
    <s v="OK"/>
  </r>
  <r>
    <s v="M381320"/>
    <x v="4"/>
    <x v="2"/>
    <s v="Swab"/>
    <x v="3"/>
    <d v="2026-03-07T18:55:00"/>
    <d v="2026-03-07T19:24:00"/>
    <d v="2026-03-07T19:53:00"/>
    <d v="2026-03-07T22:22:00"/>
    <x v="0"/>
    <n v="29.000000000232831"/>
    <n v="29.000000000232831"/>
    <n v="149.00000000372529"/>
    <n v="207.00000000419095"/>
    <s v="OK"/>
  </r>
  <r>
    <s v="M990229"/>
    <x v="1"/>
    <x v="1"/>
    <s v="Urine"/>
    <x v="2"/>
    <d v="2026-03-06T22:00:00"/>
    <d v="2026-03-06T22:10:00"/>
    <d v="2026-03-06T22:30:00"/>
    <d v="2026-03-07T05:20:00"/>
    <x v="1"/>
    <n v="10.000000001164153"/>
    <n v="20.000000002328306"/>
    <n v="409.99999999534339"/>
    <n v="439.99999999883585"/>
    <s v="OK"/>
  </r>
  <r>
    <s v="M432980"/>
    <x v="1"/>
    <x v="1"/>
    <s v="Urine"/>
    <x v="2"/>
    <d v="2026-03-02T15:51:00"/>
    <d v="2026-03-02T16:15:00"/>
    <d v="2026-03-02T16:20:00"/>
    <d v="2026-03-02T22:49:00"/>
    <x v="0"/>
    <n v="24.000000004889444"/>
    <n v="4.9999999953433871"/>
    <n v="389.00000000023283"/>
    <n v="418.00000000046566"/>
    <s v="OK"/>
  </r>
  <r>
    <s v="M994700"/>
    <x v="5"/>
    <x v="3"/>
    <s v="Blood Culture"/>
    <x v="4"/>
    <d v="2026-03-03T09:16:00"/>
    <d v="2026-03-03T09:38:00"/>
    <d v="2026-03-03T09:56:00"/>
    <d v="2026-03-03T11:07:00"/>
    <x v="1"/>
    <n v="21.999999998370185"/>
    <n v="17.999999995809048"/>
    <n v="71.000000000931323"/>
    <n v="110.99999999511056"/>
    <s v="OK"/>
  </r>
  <r>
    <s v="M137571"/>
    <x v="4"/>
    <x v="2"/>
    <s v="Swab"/>
    <x v="3"/>
    <d v="2026-03-06T09:45:00"/>
    <d v="2026-03-06T09:52:00"/>
    <d v="2026-03-06T10:12:00"/>
    <d v="2026-03-06T11:51:00"/>
    <x v="1"/>
    <n v="7.0000000018626451"/>
    <n v="20.000000002328306"/>
    <n v="98.999999997904524"/>
    <n v="126.00000000209548"/>
    <s v="OK"/>
  </r>
  <r>
    <s v="M850784"/>
    <x v="0"/>
    <x v="0"/>
    <s v="Stool"/>
    <x v="0"/>
    <d v="2026-03-05T18:29:00"/>
    <d v="2026-03-05T18:59:00"/>
    <d v="2026-03-05T19:29:00"/>
    <d v="2026-03-05T23:12:00"/>
    <x v="2"/>
    <n v="30.00000000349246"/>
    <n v="30.00000000349246"/>
    <n v="223.00000000395812"/>
    <n v="283.00000001094304"/>
    <s v="OK"/>
  </r>
  <r>
    <s v="M575555"/>
    <x v="6"/>
    <x v="0"/>
    <s v="NP Swab"/>
    <x v="2"/>
    <d v="2026-03-05T14:16:00"/>
    <d v="2026-03-05T14:21:00"/>
    <d v="2026-03-05T14:29:00"/>
    <d v="2026-03-05T17:58:00"/>
    <x v="0"/>
    <n v="4.9999999953433871"/>
    <n v="8.0000000051222742"/>
    <n v="209.00000000023283"/>
    <n v="222.00000000069849"/>
    <s v="OK"/>
  </r>
  <r>
    <s v="M957815"/>
    <x v="1"/>
    <x v="1"/>
    <s v="Urine"/>
    <x v="1"/>
    <d v="2026-03-05T11:25:00"/>
    <d v="2026-03-05T11:37:00"/>
    <d v="2026-03-05T12:06:00"/>
    <d v="2026-03-05T17:30:00"/>
    <x v="0"/>
    <n v="11.999999997206032"/>
    <n v="29.000000000232831"/>
    <n v="323.99999999790452"/>
    <n v="364.99999999534339"/>
    <s v="OK"/>
  </r>
  <r>
    <s v="M209852"/>
    <x v="3"/>
    <x v="3"/>
    <s v="NP Swab"/>
    <x v="3"/>
    <d v="2026-03-01T10:50:00"/>
    <d v="2026-03-01T11:14:00"/>
    <d v="2026-03-01T11:26:00"/>
    <d v="2026-03-01T12:49:00"/>
    <x v="1"/>
    <n v="24.000000004889444"/>
    <n v="11.999999997206032"/>
    <n v="82.999999998137355"/>
    <n v="119.00000000023283"/>
    <s v="OK"/>
  </r>
  <r>
    <s v="M942237"/>
    <x v="4"/>
    <x v="2"/>
    <s v="Swab"/>
    <x v="3"/>
    <d v="2026-03-01T11:47:00"/>
    <d v="2026-03-01T12:07:00"/>
    <d v="2026-03-01T12:33:00"/>
    <d v="2026-03-01T14:11:00"/>
    <x v="1"/>
    <n v="20.000000002328306"/>
    <n v="26.000000000931323"/>
    <n v="98.000000005122274"/>
    <n v="144.0000000083819"/>
    <s v="OK"/>
  </r>
  <r>
    <s v="M571344"/>
    <x v="2"/>
    <x v="2"/>
    <s v="Vaginal/Rectal Swab"/>
    <x v="5"/>
    <d v="2026-03-07T11:45:00"/>
    <d v="2026-03-07T11:59:00"/>
    <d v="2026-03-07T12:05:00"/>
    <d v="2026-03-07T13:58:00"/>
    <x v="1"/>
    <n v="14.00000000372529"/>
    <n v="5.9999999986030161"/>
    <n v="113.00000000162981"/>
    <n v="133.00000000395812"/>
    <s v="OK"/>
  </r>
  <r>
    <s v="M567936"/>
    <x v="0"/>
    <x v="0"/>
    <s v="Stool"/>
    <x v="3"/>
    <d v="2026-03-02T10:44:00"/>
    <d v="2026-03-02T10:52:00"/>
    <d v="2026-03-02T10:58:00"/>
    <d v="2026-03-02T13:28:00"/>
    <x v="1"/>
    <n v="8.0000000051222742"/>
    <n v="5.9999999986030161"/>
    <n v="149.99999999650754"/>
    <n v="164.00000000023283"/>
    <s v="OK"/>
  </r>
  <r>
    <s v="M789235"/>
    <x v="6"/>
    <x v="0"/>
    <s v="NP Swab"/>
    <x v="1"/>
    <d v="2026-03-07T11:38:00"/>
    <d v="2026-03-07T11:56:00"/>
    <d v="2026-03-07T12:04:00"/>
    <d v="2026-03-07T15:13:00"/>
    <x v="0"/>
    <n v="17.999999995809048"/>
    <n v="8.0000000051222742"/>
    <n v="188.99999999790452"/>
    <n v="214.99999999883585"/>
    <s v="OK"/>
  </r>
  <r>
    <s v="M857907"/>
    <x v="2"/>
    <x v="2"/>
    <s v="Vaginal/Rectal Swab"/>
    <x v="2"/>
    <d v="2026-03-05T17:32:00"/>
    <d v="2026-03-05T17:48:00"/>
    <d v="2026-03-05T18:03:00"/>
    <d v="2026-03-05T19:42:00"/>
    <x v="0"/>
    <n v="15.999999999767169"/>
    <n v="14.99999999650754"/>
    <n v="98.999999997904524"/>
    <n v="129.99999999417923"/>
    <s v="OK"/>
  </r>
  <r>
    <s v="M572767"/>
    <x v="0"/>
    <x v="0"/>
    <s v="Stool"/>
    <x v="3"/>
    <d v="2026-03-05T13:04:00"/>
    <d v="2026-03-05T13:10:00"/>
    <d v="2026-03-05T13:30:00"/>
    <d v="2026-03-05T17:30:00"/>
    <x v="0"/>
    <n v="5.9999999986030161"/>
    <n v="20.000000002328306"/>
    <n v="239.99999999650754"/>
    <n v="265.99999999743886"/>
    <s v="OK"/>
  </r>
  <r>
    <s v="M493311"/>
    <x v="0"/>
    <x v="0"/>
    <s v="Stool"/>
    <x v="3"/>
    <d v="2026-03-02T21:14:00"/>
    <d v="2026-03-02T21:42:00"/>
    <d v="2026-03-02T21:58:00"/>
    <d v="2026-03-03T00:46:00"/>
    <x v="1"/>
    <n v="27.999999996973202"/>
    <n v="15.999999999767169"/>
    <n v="168.00000000279397"/>
    <n v="211.99999999953434"/>
    <s v="OK"/>
  </r>
  <r>
    <s v="M118834"/>
    <x v="3"/>
    <x v="3"/>
    <s v="NP Swab"/>
    <x v="3"/>
    <d v="2026-03-04T18:01:00"/>
    <d v="2026-03-04T18:07:00"/>
    <d v="2026-03-04T18:22:00"/>
    <d v="2026-03-04T19:44:00"/>
    <x v="0"/>
    <n v="5.9999999986030161"/>
    <n v="14.99999999650754"/>
    <n v="81.999999994877726"/>
    <n v="102.99999998998828"/>
    <s v="OK"/>
  </r>
  <r>
    <s v="M673362"/>
    <x v="2"/>
    <x v="2"/>
    <s v="Vaginal/Rectal Swab"/>
    <x v="2"/>
    <d v="2026-03-02T12:18:00"/>
    <d v="2026-03-02T12:48:00"/>
    <d v="2026-03-02T13:14:00"/>
    <d v="2026-03-02T15:28:00"/>
    <x v="0"/>
    <n v="30.00000000349246"/>
    <n v="26.000000000931323"/>
    <n v="133.99999999674037"/>
    <n v="190.00000000116415"/>
    <s v="OK"/>
  </r>
  <r>
    <s v="M616563"/>
    <x v="6"/>
    <x v="0"/>
    <s v="NP Swab"/>
    <x v="1"/>
    <d v="2026-03-06T15:25:00"/>
    <d v="2026-03-06T15:48:00"/>
    <d v="2026-03-06T16:03:00"/>
    <d v="2026-03-06T18:13:00"/>
    <x v="0"/>
    <n v="23.000000001629815"/>
    <n v="14.99999999650754"/>
    <n v="130.00000000465661"/>
    <n v="168.00000000279397"/>
    <s v="OK"/>
  </r>
  <r>
    <s v="M937514"/>
    <x v="6"/>
    <x v="0"/>
    <s v="NP Swab"/>
    <x v="1"/>
    <d v="2026-03-06T16:35:00"/>
    <d v="2026-03-06T16:59:00"/>
    <d v="2026-03-06T17:28:00"/>
    <d v="2026-03-06T19:55:00"/>
    <x v="0"/>
    <n v="24.000000004889444"/>
    <n v="29.000000000232831"/>
    <n v="146.99999999720603"/>
    <n v="200.00000000232831"/>
    <s v="OK"/>
  </r>
  <r>
    <s v="M816920"/>
    <x v="0"/>
    <x v="0"/>
    <s v="Stool"/>
    <x v="0"/>
    <d v="2026-03-03T11:59:00"/>
    <d v="2026-03-03T12:15:00"/>
    <d v="2026-03-03T12:21:00"/>
    <d v="2026-03-03T14:25:00"/>
    <x v="1"/>
    <n v="15.999999999767169"/>
    <n v="5.9999999986030161"/>
    <n v="123.99999999557622"/>
    <n v="145.9999999939464"/>
    <s v="OK"/>
  </r>
  <r>
    <s v="M826198"/>
    <x v="4"/>
    <x v="2"/>
    <s v="Swab"/>
    <x v="3"/>
    <d v="2026-03-02T21:08:00"/>
    <d v="2026-03-02T21:37:00"/>
    <d v="2026-03-02T22:01:00"/>
    <d v="2026-03-03T00:09:00"/>
    <x v="1"/>
    <n v="29.000000000232831"/>
    <n v="24.000000004889444"/>
    <n v="127.99999999813735"/>
    <n v="181.00000000325963"/>
    <s v="OK"/>
  </r>
  <r>
    <s v="M752805"/>
    <x v="2"/>
    <x v="2"/>
    <s v="Vaginal/Rectal Swab"/>
    <x v="2"/>
    <d v="2026-03-03T16:38:00"/>
    <d v="2026-03-03T16:52:00"/>
    <d v="2026-03-03T17:12:00"/>
    <d v="2026-03-03T19:10:00"/>
    <x v="0"/>
    <n v="14.00000000372529"/>
    <n v="20.000000002328306"/>
    <n v="117.9999999969732"/>
    <n v="152.0000000030268"/>
    <s v="OK"/>
  </r>
  <r>
    <s v="M357196"/>
    <x v="1"/>
    <x v="1"/>
    <s v="Urine"/>
    <x v="2"/>
    <d v="2026-03-04T16:48:00"/>
    <d v="2026-03-04T17:14:00"/>
    <d v="2026-03-04T17:22:00"/>
    <d v="2026-03-04T22:47:00"/>
    <x v="0"/>
    <n v="26.000000000931323"/>
    <n v="8.0000000051222742"/>
    <n v="325.00000000116415"/>
    <n v="359.00000000721775"/>
    <s v="OK"/>
  </r>
  <r>
    <s v="M561416"/>
    <x v="3"/>
    <x v="3"/>
    <s v="NP Swab"/>
    <x v="3"/>
    <d v="2026-03-01T11:51:00"/>
    <d v="2026-03-01T12:04:00"/>
    <d v="2026-03-01T12:27:00"/>
    <d v="2026-03-01T13:45:00"/>
    <x v="1"/>
    <n v="13.000000000465661"/>
    <n v="23.000000001629815"/>
    <n v="78.000000002793968"/>
    <n v="114.00000000488944"/>
    <s v="OK"/>
  </r>
  <r>
    <s v="M139997"/>
    <x v="5"/>
    <x v="3"/>
    <s v="Blood Culture"/>
    <x v="3"/>
    <d v="2026-03-02T22:29:00"/>
    <d v="2026-03-02T22:38:00"/>
    <d v="2026-03-02T23:08:00"/>
    <d v="2026-03-03T00:36:00"/>
    <x v="1"/>
    <n v="8.9999999979045242"/>
    <n v="30.00000000349246"/>
    <n v="88.000000003958121"/>
    <n v="127.0000000053551"/>
    <s v="OK"/>
  </r>
  <r>
    <s v="M227335"/>
    <x v="0"/>
    <x v="0"/>
    <s v="Stool"/>
    <x v="0"/>
    <d v="2026-03-01T18:58:00"/>
    <d v="2026-03-01T19:17:00"/>
    <d v="2026-03-01T19:37:00"/>
    <d v="2026-03-01T23:06:00"/>
    <x v="2"/>
    <n v="18.999999999068677"/>
    <n v="20.000000002328306"/>
    <n v="209.00000000023283"/>
    <n v="248.00000000162981"/>
    <s v="OK"/>
  </r>
  <r>
    <s v="M377583"/>
    <x v="4"/>
    <x v="2"/>
    <s v="Swab"/>
    <x v="3"/>
    <d v="2026-03-04T08:28:00"/>
    <d v="2026-03-04T08:55:00"/>
    <d v="2026-03-04T09:02:00"/>
    <d v="2026-03-04T10:58:00"/>
    <x v="1"/>
    <n v="27.000000004190952"/>
    <n v="7.0000000018626451"/>
    <n v="116.00000000093132"/>
    <n v="150.00000000698492"/>
    <s v="OK"/>
  </r>
  <r>
    <s v="M361411"/>
    <x v="4"/>
    <x v="2"/>
    <s v="Swab"/>
    <x v="4"/>
    <d v="2026-03-04T10:35:00"/>
    <d v="2026-03-04T10:56:00"/>
    <d v="2026-03-04T11:14:00"/>
    <d v="2026-03-04T13:42:00"/>
    <x v="1"/>
    <n v="20.999999995110556"/>
    <n v="17.999999995809048"/>
    <n v="148.00000000046566"/>
    <n v="186.99999999138527"/>
    <s v="OK"/>
  </r>
  <r>
    <s v="M648369"/>
    <x v="6"/>
    <x v="0"/>
    <s v="NP Swab"/>
    <x v="1"/>
    <d v="2026-03-02T10:54:00"/>
    <d v="2026-03-02T11:18:00"/>
    <d v="2026-03-02T11:24:00"/>
    <d v="2026-03-02T14:40:00"/>
    <x v="1"/>
    <n v="24.000000004889444"/>
    <n v="5.9999999986030161"/>
    <n v="195.99999999976717"/>
    <n v="226.00000000325963"/>
    <s v="OK"/>
  </r>
  <r>
    <s v="M558361"/>
    <x v="5"/>
    <x v="3"/>
    <s v="Blood Culture"/>
    <x v="3"/>
    <d v="2026-03-07T22:59:00"/>
    <d v="2026-03-07T23:17:00"/>
    <d v="2026-03-07T23:22:00"/>
    <d v="2026-03-08T00:29:00"/>
    <x v="1"/>
    <n v="17.999999995809048"/>
    <n v="4.9999999953433871"/>
    <n v="66.999999998370185"/>
    <n v="89.999999989522621"/>
    <s v="OK"/>
  </r>
  <r>
    <s v="M476625"/>
    <x v="3"/>
    <x v="3"/>
    <s v="NP Swab"/>
    <x v="0"/>
    <d v="2026-03-04T19:00:00"/>
    <d v="2026-03-04T19:06:00"/>
    <d v="2026-03-04T19:32:00"/>
    <d v="2026-03-04T20:58:00"/>
    <x v="0"/>
    <n v="5.9999999986030161"/>
    <n v="26.000000000931323"/>
    <n v="85.999999997438863"/>
    <n v="117.9999999969732"/>
    <s v="OK"/>
  </r>
  <r>
    <s v="M949600"/>
    <x v="1"/>
    <x v="1"/>
    <s v="Urine"/>
    <x v="1"/>
    <d v="2026-03-05T16:52:00"/>
    <d v="2026-03-05T17:00:00"/>
    <d v="2026-03-05T17:07:00"/>
    <d v="2026-03-05T21:38:00"/>
    <x v="0"/>
    <n v="8.0000000051222742"/>
    <n v="7.0000000018626451"/>
    <n v="271.00000000325963"/>
    <n v="286.00000001024455"/>
    <s v="OK"/>
  </r>
  <r>
    <s v="M827107"/>
    <x v="2"/>
    <x v="2"/>
    <s v="Vaginal/Rectal Swab"/>
    <x v="2"/>
    <d v="2026-03-03T21:17:00"/>
    <d v="2026-03-03T21:41:00"/>
    <d v="2026-03-03T22:02:00"/>
    <d v="2026-03-04T00:00:00"/>
    <x v="1"/>
    <n v="24.000000004889444"/>
    <n v="20.999999995110556"/>
    <n v="117.9999999969732"/>
    <n v="162.9999999969732"/>
    <s v="OK"/>
  </r>
  <r>
    <s v="M163398"/>
    <x v="1"/>
    <x v="1"/>
    <s v="Urine"/>
    <x v="2"/>
    <d v="2026-03-03T18:48:00"/>
    <d v="2026-03-03T19:07:00"/>
    <d v="2026-03-03T19:37:00"/>
    <d v="2026-03-04T02:32:00"/>
    <x v="1"/>
    <n v="18.999999999068677"/>
    <n v="30.00000000349246"/>
    <n v="415.00000000116415"/>
    <n v="464.00000000372529"/>
    <s v="OK"/>
  </r>
  <r>
    <s v="M472805"/>
    <x v="4"/>
    <x v="2"/>
    <s v="Swab"/>
    <x v="4"/>
    <d v="2026-03-01T06:13:00"/>
    <d v="2026-03-01T06:35:00"/>
    <d v="2026-03-01T07:04:00"/>
    <d v="2026-03-01T09:27:00"/>
    <x v="1"/>
    <n v="21.999999998370185"/>
    <n v="29.000000000232831"/>
    <n v="143.00000000512227"/>
    <n v="194.00000000372529"/>
    <s v="OK"/>
  </r>
  <r>
    <s v="M304512"/>
    <x v="2"/>
    <x v="2"/>
    <s v="Vaginal/Rectal Swab"/>
    <x v="2"/>
    <d v="2026-03-01T09:14:00"/>
    <d v="2026-03-01T09:38:00"/>
    <d v="2026-03-01T09:55:00"/>
    <d v="2026-03-01T11:48:00"/>
    <x v="1"/>
    <n v="24.000000004889444"/>
    <n v="17.000000003026798"/>
    <n v="113.00000000162981"/>
    <n v="154.00000000954606"/>
    <s v="OK"/>
  </r>
  <r>
    <s v="M266963"/>
    <x v="5"/>
    <x v="3"/>
    <s v="Blood Culture"/>
    <x v="4"/>
    <d v="2026-03-03T13:18:00"/>
    <d v="2026-03-03T13:24:00"/>
    <d v="2026-03-03T13:38:00"/>
    <d v="2026-03-03T14:53:00"/>
    <x v="1"/>
    <n v="5.9999999986030161"/>
    <n v="14.00000000372529"/>
    <n v="75.00000000349246"/>
    <n v="95.000000005820766"/>
    <s v="OK"/>
  </r>
  <r>
    <s v="M668128"/>
    <x v="4"/>
    <x v="2"/>
    <s v="Swab"/>
    <x v="4"/>
    <d v="2026-03-04T09:28:00"/>
    <d v="2026-03-04T09:42:00"/>
    <d v="2026-03-04T10:04:00"/>
    <d v="2026-03-04T11:34:00"/>
    <x v="1"/>
    <n v="14.00000000372529"/>
    <n v="21.999999998370185"/>
    <n v="90"/>
    <n v="126.00000000209548"/>
    <s v="OK"/>
  </r>
  <r>
    <s v="M801885"/>
    <x v="0"/>
    <x v="0"/>
    <s v="Stool"/>
    <x v="0"/>
    <d v="2026-03-04T06:12:00"/>
    <d v="2026-03-04T06:33:00"/>
    <d v="2026-03-04T07:02:00"/>
    <d v="2026-03-04T10:00:00"/>
    <x v="1"/>
    <n v="20.999999995110556"/>
    <n v="29.000000000232831"/>
    <n v="178.00000000395812"/>
    <n v="227.99999999930151"/>
    <s v="OK"/>
  </r>
  <r>
    <s v="M514076"/>
    <x v="2"/>
    <x v="2"/>
    <s v="Vaginal/Rectal Swab"/>
    <x v="2"/>
    <d v="2026-03-01T21:00:00"/>
    <d v="2026-03-01T21:08:00"/>
    <d v="2026-03-01T21:33:00"/>
    <d v="2026-03-01T23:28:00"/>
    <x v="2"/>
    <n v="8.0000000051222742"/>
    <n v="24.999999997671694"/>
    <n v="114.99999999767169"/>
    <n v="148.00000000046566"/>
    <s v="OK"/>
  </r>
  <r>
    <s v="M185431"/>
    <x v="6"/>
    <x v="0"/>
    <s v="NP Swab"/>
    <x v="2"/>
    <d v="2026-03-04T13:14:00"/>
    <d v="2026-03-04T13:19:00"/>
    <d v="2026-03-04T13:35:00"/>
    <d v="2026-03-04T17:07:00"/>
    <x v="0"/>
    <n v="4.9999999953433871"/>
    <n v="15.999999999767169"/>
    <n v="211.99999999953434"/>
    <n v="232.9999999946449"/>
    <s v="OK"/>
  </r>
  <r>
    <s v="M979087"/>
    <x v="2"/>
    <x v="2"/>
    <s v="Vaginal/Rectal Swab"/>
    <x v="2"/>
    <d v="2026-03-06T10:24:00"/>
    <d v="2026-03-06T10:49:00"/>
    <d v="2026-03-06T11:01:00"/>
    <d v="2026-03-06T13:30:00"/>
    <x v="1"/>
    <n v="24.999999997671694"/>
    <n v="11.999999997206032"/>
    <n v="149.00000000372529"/>
    <n v="185.99999999860302"/>
    <s v="OK"/>
  </r>
  <r>
    <s v="M530978"/>
    <x v="1"/>
    <x v="1"/>
    <s v="Urine"/>
    <x v="2"/>
    <d v="2026-03-01T21:30:00"/>
    <d v="2026-03-01T21:55:00"/>
    <d v="2026-03-01T22:01:00"/>
    <d v="2026-03-02T03:04:00"/>
    <x v="1"/>
    <n v="24.999999997671694"/>
    <n v="5.9999999986030161"/>
    <n v="303.00000000279397"/>
    <n v="333.99999999906868"/>
    <s v="OK"/>
  </r>
  <r>
    <s v="M107037"/>
    <x v="2"/>
    <x v="2"/>
    <s v="Vaginal/Rectal Swab"/>
    <x v="5"/>
    <d v="2026-03-05T09:04:00"/>
    <d v="2026-03-05T09:11:00"/>
    <d v="2026-03-05T09:29:00"/>
    <d v="2026-03-05T11:35:00"/>
    <x v="1"/>
    <n v="7.0000000018626451"/>
    <n v="17.999999995809048"/>
    <n v="126.00000000209548"/>
    <n v="150.99999999976717"/>
    <s v="OK"/>
  </r>
  <r>
    <s v="M123236"/>
    <x v="0"/>
    <x v="0"/>
    <s v="Stool"/>
    <x v="3"/>
    <d v="2026-03-01T18:46:00"/>
    <d v="2026-03-01T19:11:00"/>
    <d v="2026-03-01T19:23:00"/>
    <d v="2026-03-01T22:40:00"/>
    <x v="0"/>
    <n v="24.999999997671694"/>
    <n v="11.999999997206032"/>
    <n v="197.0000000030268"/>
    <n v="233.99999999790452"/>
    <s v="OK"/>
  </r>
  <r>
    <s v="M650704"/>
    <x v="4"/>
    <x v="2"/>
    <s v="Swab"/>
    <x v="3"/>
    <d v="2026-03-04T15:38:00"/>
    <d v="2026-03-04T15:55:00"/>
    <d v="2026-03-04T16:00:00"/>
    <d v="2026-03-04T17:52:00"/>
    <x v="0"/>
    <n v="17.000000003026798"/>
    <n v="4.9999999953433871"/>
    <n v="111.99999999837019"/>
    <n v="133.99999999674037"/>
    <s v="OK"/>
  </r>
  <r>
    <s v="M856344"/>
    <x v="2"/>
    <x v="2"/>
    <s v="Vaginal/Rectal Swab"/>
    <x v="2"/>
    <d v="2026-03-06T21:33:00"/>
    <d v="2026-03-06T21:53:00"/>
    <d v="2026-03-06T22:02:00"/>
    <d v="2026-03-06T23:43:00"/>
    <x v="2"/>
    <n v="20.000000002328306"/>
    <n v="8.9999999979045242"/>
    <n v="101.00000000442378"/>
    <n v="130.00000000465661"/>
    <s v="OK"/>
  </r>
  <r>
    <s v="M771943"/>
    <x v="2"/>
    <x v="2"/>
    <s v="Vaginal/Rectal Swab"/>
    <x v="5"/>
    <d v="2026-03-06T12:51:00"/>
    <d v="2026-03-06T13:05:00"/>
    <d v="2026-03-06T13:23:00"/>
    <d v="2026-03-06T15:22:00"/>
    <x v="0"/>
    <n v="14.00000000372529"/>
    <n v="17.999999995809048"/>
    <n v="119.00000000023283"/>
    <n v="150.99999999976717"/>
    <s v="OK"/>
  </r>
  <r>
    <s v="M760326"/>
    <x v="4"/>
    <x v="2"/>
    <s v="Swab"/>
    <x v="4"/>
    <d v="2026-03-01T21:21:00"/>
    <d v="2026-03-01T21:34:00"/>
    <d v="2026-03-01T21:48:00"/>
    <d v="2026-03-01T23:54:00"/>
    <x v="2"/>
    <n v="13.000000000465661"/>
    <n v="14.00000000372529"/>
    <n v="126.00000000209548"/>
    <n v="153.00000000628643"/>
    <s v="OK"/>
  </r>
  <r>
    <s v="M120611"/>
    <x v="6"/>
    <x v="0"/>
    <s v="NP Swab"/>
    <x v="2"/>
    <d v="2026-03-05T20:28:00"/>
    <d v="2026-03-05T20:53:00"/>
    <d v="2026-03-05T21:09:00"/>
    <d v="2026-03-06T00:08:00"/>
    <x v="1"/>
    <n v="24.999999997671694"/>
    <n v="15.999999999767169"/>
    <n v="178.99999999674037"/>
    <n v="219.99999999417923"/>
    <s v="OK"/>
  </r>
  <r>
    <s v="M136497"/>
    <x v="2"/>
    <x v="2"/>
    <s v="Vaginal/Rectal Swab"/>
    <x v="2"/>
    <d v="2026-03-07T19:42:00"/>
    <d v="2026-03-07T20:02:00"/>
    <d v="2026-03-07T20:22:00"/>
    <d v="2026-03-07T22:46:00"/>
    <x v="0"/>
    <n v="20.000000002328306"/>
    <n v="20.000000002328306"/>
    <n v="143.99999999790452"/>
    <n v="184.00000000256114"/>
    <s v="OK"/>
  </r>
  <r>
    <s v="M925114"/>
    <x v="2"/>
    <x v="2"/>
    <s v="Vaginal/Rectal Swab"/>
    <x v="5"/>
    <d v="2026-03-01T14:28:00"/>
    <d v="2026-03-01T14:35:00"/>
    <d v="2026-03-01T14:40:00"/>
    <d v="2026-03-01T17:02:00"/>
    <x v="0"/>
    <n v="7.0000000018626451"/>
    <n v="4.9999999953433871"/>
    <n v="142.00000000186265"/>
    <n v="153.99999999906868"/>
    <s v="OK"/>
  </r>
  <r>
    <s v="M130342"/>
    <x v="0"/>
    <x v="0"/>
    <s v="Stool"/>
    <x v="3"/>
    <d v="2026-03-02T17:14:00"/>
    <d v="2026-03-02T17:25:00"/>
    <d v="2026-03-02T17:47:00"/>
    <d v="2026-03-02T21:44:00"/>
    <x v="0"/>
    <n v="11.000000004423782"/>
    <n v="21.999999998370185"/>
    <n v="236.99999999720603"/>
    <n v="270"/>
    <s v="OK"/>
  </r>
  <r>
    <s v="M782261"/>
    <x v="2"/>
    <x v="2"/>
    <s v="Vaginal/Rectal Swab"/>
    <x v="2"/>
    <d v="2026-03-02T08:57:00"/>
    <d v="2026-03-02T09:25:00"/>
    <d v="2026-03-02T09:31:00"/>
    <d v="2026-03-02T11:54:00"/>
    <x v="1"/>
    <n v="27.999999996973202"/>
    <n v="5.9999999986030161"/>
    <n v="143.00000000512227"/>
    <n v="177.00000000069849"/>
    <s v="OK"/>
  </r>
  <r>
    <s v="M304747"/>
    <x v="1"/>
    <x v="1"/>
    <s v="Urine"/>
    <x v="2"/>
    <d v="2026-03-01T11:17:00"/>
    <d v="2026-03-01T11:22:00"/>
    <d v="2026-03-01T11:39:00"/>
    <d v="2026-03-01T17:58:00"/>
    <x v="0"/>
    <n v="4.9999999953433871"/>
    <n v="17.000000003026798"/>
    <n v="378.99999999906868"/>
    <n v="400.99999999743886"/>
    <s v="OK"/>
  </r>
  <r>
    <s v="M719120"/>
    <x v="4"/>
    <x v="2"/>
    <s v="Swab"/>
    <x v="4"/>
    <d v="2026-03-04T09:46:00"/>
    <d v="2026-03-04T10:13:00"/>
    <d v="2026-03-04T10:25:00"/>
    <d v="2026-03-04T11:55:00"/>
    <x v="1"/>
    <n v="27.000000004190952"/>
    <n v="11.999999997206032"/>
    <n v="90"/>
    <n v="129.00000000139698"/>
    <s v="OK"/>
  </r>
  <r>
    <s v="M866086"/>
    <x v="1"/>
    <x v="1"/>
    <s v="Urine"/>
    <x v="1"/>
    <d v="2026-03-02T08:41:00"/>
    <d v="2026-03-02T08:58:00"/>
    <d v="2026-03-02T09:20:00"/>
    <d v="2026-03-02T13:46:00"/>
    <x v="1"/>
    <n v="17.000000003026798"/>
    <n v="21.999999998370185"/>
    <n v="265.99999999743886"/>
    <n v="304.99999999883585"/>
    <s v="OK"/>
  </r>
  <r>
    <s v="M102869"/>
    <x v="6"/>
    <x v="0"/>
    <s v="NP Swab"/>
    <x v="1"/>
    <d v="2026-03-06T10:08:00"/>
    <d v="2026-03-06T10:26:00"/>
    <d v="2026-03-06T10:50:00"/>
    <d v="2026-03-06T14:29:00"/>
    <x v="1"/>
    <n v="17.999999995809048"/>
    <n v="24.000000004889444"/>
    <n v="219.00000000139698"/>
    <n v="261.00000000209548"/>
    <s v="OK"/>
  </r>
  <r>
    <s v="M855103"/>
    <x v="5"/>
    <x v="3"/>
    <s v="Blood Culture"/>
    <x v="4"/>
    <d v="2026-03-04T06:01:00"/>
    <d v="2026-03-04T06:13:00"/>
    <d v="2026-03-04T06:35:00"/>
    <d v="2026-03-04T07:37:00"/>
    <x v="1"/>
    <n v="11.999999997206032"/>
    <n v="21.999999998370185"/>
    <n v="62.000000003026798"/>
    <n v="95.999999998603016"/>
    <s v="OK"/>
  </r>
  <r>
    <s v="M687906"/>
    <x v="5"/>
    <x v="3"/>
    <s v="Blood Culture"/>
    <x v="4"/>
    <d v="2026-03-04T16:49:00"/>
    <d v="2026-03-04T17:09:00"/>
    <d v="2026-03-04T17:38:00"/>
    <d v="2026-03-04T19:02:00"/>
    <x v="0"/>
    <n v="20.000000002328306"/>
    <n v="29.000000000232831"/>
    <n v="84.000000001396984"/>
    <n v="133.00000000395812"/>
    <s v="OK"/>
  </r>
  <r>
    <s v="M717986"/>
    <x v="0"/>
    <x v="0"/>
    <s v="Stool"/>
    <x v="0"/>
    <d v="2026-03-04T09:09:00"/>
    <d v="2026-03-04T09:26:00"/>
    <d v="2026-03-04T09:55:00"/>
    <d v="2026-03-04T13:41:00"/>
    <x v="1"/>
    <n v="17.000000003026798"/>
    <n v="29.000000000232831"/>
    <n v="226.00000000325963"/>
    <n v="272.00000000651926"/>
    <s v="OK"/>
  </r>
  <r>
    <s v="M457691"/>
    <x v="1"/>
    <x v="1"/>
    <s v="Urine"/>
    <x v="1"/>
    <d v="2026-03-06T12:07:00"/>
    <d v="2026-03-06T12:19:00"/>
    <d v="2026-03-06T12:33:00"/>
    <d v="2026-03-06T18:44:00"/>
    <x v="0"/>
    <n v="11.999999997206032"/>
    <n v="14.00000000372529"/>
    <n v="371.00000000442378"/>
    <n v="397.0000000053551"/>
    <s v="OK"/>
  </r>
  <r>
    <s v="M649760"/>
    <x v="6"/>
    <x v="0"/>
    <s v="NP Swab"/>
    <x v="1"/>
    <d v="2026-03-01T14:32:00"/>
    <d v="2026-03-01T14:42:00"/>
    <d v="2026-03-01T15:08:00"/>
    <d v="2026-03-01T17:33:00"/>
    <x v="0"/>
    <n v="10.000000001164153"/>
    <n v="26.000000000931323"/>
    <n v="145.00000000116415"/>
    <n v="181.00000000325963"/>
    <s v="OK"/>
  </r>
  <r>
    <s v="M714775"/>
    <x v="0"/>
    <x v="0"/>
    <s v="Stool"/>
    <x v="3"/>
    <d v="2026-03-06T18:28:00"/>
    <d v="2026-03-06T18:39:00"/>
    <d v="2026-03-06T18:48:00"/>
    <d v="2026-03-06T22:36:00"/>
    <x v="0"/>
    <n v="11.000000004423782"/>
    <n v="8.9999999979045242"/>
    <n v="227.99999999930151"/>
    <n v="248.00000000162981"/>
    <s v="OK"/>
  </r>
  <r>
    <s v="M820188"/>
    <x v="6"/>
    <x v="0"/>
    <s v="NP Swab"/>
    <x v="0"/>
    <d v="2026-03-02T22:45:00"/>
    <d v="2026-03-02T23:09:00"/>
    <d v="2026-03-02T23:15:00"/>
    <d v="2026-03-03T02:04:00"/>
    <x v="1"/>
    <n v="24.000000004889444"/>
    <n v="5.9999999986030161"/>
    <n v="168.99999999557622"/>
    <n v="198.99999999906868"/>
    <s v="OK"/>
  </r>
  <r>
    <s v="M903104"/>
    <x v="2"/>
    <x v="2"/>
    <s v="Vaginal/Rectal Swab"/>
    <x v="5"/>
    <d v="2026-03-05T14:56:00"/>
    <d v="2026-03-05T15:24:00"/>
    <d v="2026-03-05T15:33:00"/>
    <d v="2026-03-05T18:01:00"/>
    <x v="0"/>
    <n v="27.999999996973202"/>
    <n v="8.9999999979045242"/>
    <n v="148.00000000046566"/>
    <n v="184.99999999534339"/>
    <s v="OK"/>
  </r>
  <r>
    <s v="M104586"/>
    <x v="3"/>
    <x v="3"/>
    <s v="NP Swab"/>
    <x v="1"/>
    <d v="2026-03-01T11:51:00"/>
    <d v="2026-03-01T12:03:00"/>
    <d v="2026-03-01T12:24:00"/>
    <d v="2026-03-01T13:38:00"/>
    <x v="1"/>
    <n v="11.999999997206032"/>
    <n v="20.999999995110556"/>
    <n v="74.000000000232831"/>
    <n v="106.99999999254942"/>
    <s v="OK"/>
  </r>
  <r>
    <s v="M666459"/>
    <x v="4"/>
    <x v="2"/>
    <s v="Swab"/>
    <x v="3"/>
    <d v="2026-03-06T14:09:00"/>
    <d v="2026-03-06T14:23:00"/>
    <d v="2026-03-06T14:53:00"/>
    <d v="2026-03-06T16:45:00"/>
    <x v="0"/>
    <n v="14.00000000372529"/>
    <n v="30.00000000349246"/>
    <n v="111.99999999837019"/>
    <n v="156.00000000558794"/>
    <s v="OK"/>
  </r>
  <r>
    <s v="M778378"/>
    <x v="1"/>
    <x v="1"/>
    <s v="Urine"/>
    <x v="1"/>
    <d v="2026-03-02T18:41:00"/>
    <d v="2026-03-02T18:49:00"/>
    <d v="2026-03-02T19:02:00"/>
    <d v="2026-03-03T00:47:00"/>
    <x v="1"/>
    <n v="8.0000000051222742"/>
    <n v="13.000000000465661"/>
    <n v="345.00000000349246"/>
    <n v="366.0000000090804"/>
    <s v="OK"/>
  </r>
  <r>
    <s v="M497056"/>
    <x v="4"/>
    <x v="2"/>
    <s v="Swab"/>
    <x v="3"/>
    <d v="2026-03-04T20:42:00"/>
    <d v="2026-03-04T21:04:00"/>
    <d v="2026-03-04T21:28:00"/>
    <d v="2026-03-04T23:12:00"/>
    <x v="2"/>
    <n v="21.999999998370185"/>
    <n v="24.000000004889444"/>
    <n v="104.00000000372529"/>
    <n v="150.00000000698492"/>
    <s v="OK"/>
  </r>
  <r>
    <s v="M845605"/>
    <x v="1"/>
    <x v="1"/>
    <s v="Urine"/>
    <x v="2"/>
    <d v="2026-03-04T11:02:00"/>
    <d v="2026-03-04T11:26:00"/>
    <d v="2026-03-04T11:53:00"/>
    <d v="2026-03-04T18:09:00"/>
    <x v="0"/>
    <n v="24.000000004889444"/>
    <n v="27.000000004190952"/>
    <n v="375.99999999976717"/>
    <n v="427.00000000884756"/>
    <s v="OK"/>
  </r>
  <r>
    <s v="M947794"/>
    <x v="1"/>
    <x v="1"/>
    <s v="Urine"/>
    <x v="1"/>
    <d v="2026-03-03T14:06:00"/>
    <d v="2026-03-03T14:16:00"/>
    <d v="2026-03-03T14:29:00"/>
    <d v="2026-03-03T21:10:00"/>
    <x v="0"/>
    <n v="10.000000001164153"/>
    <n v="13.000000000465661"/>
    <n v="400.99999999743886"/>
    <n v="423.99999999906868"/>
    <s v="OK"/>
  </r>
  <r>
    <s v="M171562"/>
    <x v="3"/>
    <x v="3"/>
    <s v="NP Swab"/>
    <x v="1"/>
    <d v="2026-03-05T11:08:00"/>
    <d v="2026-03-05T11:37:00"/>
    <d v="2026-03-05T11:42:00"/>
    <d v="2026-03-05T12:45:00"/>
    <x v="1"/>
    <n v="29.000000000232831"/>
    <n v="4.9999999953433871"/>
    <n v="62.999999995809048"/>
    <n v="96.999999991385266"/>
    <s v="OK"/>
  </r>
  <r>
    <s v="M842470"/>
    <x v="4"/>
    <x v="2"/>
    <s v="Swab"/>
    <x v="3"/>
    <d v="2026-03-01T06:17:00"/>
    <d v="2026-03-01T06:45:00"/>
    <d v="2026-03-01T07:08:00"/>
    <d v="2026-03-01T08:57:00"/>
    <x v="1"/>
    <n v="27.999999996973202"/>
    <n v="23.000000001629815"/>
    <n v="108.99999999906868"/>
    <n v="159.99999999767169"/>
    <s v="OK"/>
  </r>
  <r>
    <s v="M491090"/>
    <x v="1"/>
    <x v="1"/>
    <s v="Urine"/>
    <x v="2"/>
    <d v="2026-03-01T20:16:00"/>
    <d v="2026-03-01T20:37:00"/>
    <d v="2026-03-01T21:06:00"/>
    <d v="2026-03-02T03:16:00"/>
    <x v="1"/>
    <n v="20.999999995110556"/>
    <n v="29.000000000232831"/>
    <n v="370.00000000116415"/>
    <n v="419.99999999650754"/>
    <s v="OK"/>
  </r>
  <r>
    <s v="M961170"/>
    <x v="3"/>
    <x v="3"/>
    <s v="NP Swab"/>
    <x v="1"/>
    <d v="2026-03-01T20:15:00"/>
    <d v="2026-03-01T20:34:00"/>
    <d v="2026-03-01T20:57:00"/>
    <d v="2026-03-01T22:14:00"/>
    <x v="0"/>
    <n v="18.999999999068677"/>
    <n v="23.000000001629815"/>
    <n v="76.999999999534339"/>
    <n v="119.00000000023283"/>
    <s v="OK"/>
  </r>
  <r>
    <s v="M725014"/>
    <x v="2"/>
    <x v="2"/>
    <s v="Vaginal/Rectal Swab"/>
    <x v="2"/>
    <d v="2026-03-04T14:16:00"/>
    <d v="2026-03-04T14:38:00"/>
    <d v="2026-03-04T15:05:00"/>
    <d v="2026-03-04T17:09:00"/>
    <x v="0"/>
    <n v="21.999999998370185"/>
    <n v="27.000000004190952"/>
    <n v="123.99999999557622"/>
    <n v="172.99999999813735"/>
    <s v="OK"/>
  </r>
  <r>
    <s v="M771108"/>
    <x v="3"/>
    <x v="3"/>
    <s v="NP Swab"/>
    <x v="1"/>
    <d v="2026-03-07T12:44:00"/>
    <d v="2026-03-07T12:55:00"/>
    <d v="2026-03-07T13:02:00"/>
    <d v="2026-03-07T14:10:00"/>
    <x v="1"/>
    <n v="11.000000004423782"/>
    <n v="7.0000000018626451"/>
    <n v="68.000000001629815"/>
    <n v="86.000000007916242"/>
    <s v="OK"/>
  </r>
  <r>
    <s v="M658753"/>
    <x v="4"/>
    <x v="2"/>
    <s v="Swab"/>
    <x v="4"/>
    <d v="2026-03-04T14:50:00"/>
    <d v="2026-03-04T15:04:00"/>
    <d v="2026-03-04T15:11:00"/>
    <d v="2026-03-04T16:54:00"/>
    <x v="0"/>
    <n v="14.00000000372529"/>
    <n v="7.0000000018626451"/>
    <n v="103.00000000046566"/>
    <n v="124.0000000060536"/>
    <s v="OK"/>
  </r>
  <r>
    <s v="M549117"/>
    <x v="1"/>
    <x v="1"/>
    <s v="Urine"/>
    <x v="1"/>
    <d v="2026-03-05T20:55:00"/>
    <d v="2026-03-05T21:01:00"/>
    <d v="2026-03-05T21:20:00"/>
    <d v="2026-03-06T04:06:00"/>
    <x v="1"/>
    <n v="5.9999999986030161"/>
    <n v="18.999999999068677"/>
    <n v="406.00000000325963"/>
    <n v="431.00000000093132"/>
    <s v="OK"/>
  </r>
  <r>
    <s v="M310631"/>
    <x v="4"/>
    <x v="2"/>
    <s v="Swab"/>
    <x v="3"/>
    <d v="2026-03-03T21:53:00"/>
    <d v="2026-03-03T22:20:00"/>
    <d v="2026-03-03T22:45:00"/>
    <d v="2026-03-04T00:26:00"/>
    <x v="1"/>
    <n v="27.000000004190952"/>
    <n v="24.999999997671694"/>
    <n v="101.00000000442378"/>
    <n v="153.00000000628643"/>
    <s v="OK"/>
  </r>
  <r>
    <s v="M189360"/>
    <x v="1"/>
    <x v="1"/>
    <s v="Urine"/>
    <x v="1"/>
    <d v="2026-03-04T11:37:00"/>
    <d v="2026-03-04T12:07:00"/>
    <d v="2026-03-04T12:15:00"/>
    <d v="2026-03-04T18:23:00"/>
    <x v="0"/>
    <n v="30.00000000349246"/>
    <n v="8.0000000051222742"/>
    <n v="368.00000000512227"/>
    <n v="406.00000001373701"/>
    <s v="OK"/>
  </r>
  <r>
    <s v="M829358"/>
    <x v="6"/>
    <x v="0"/>
    <s v="NP Swab"/>
    <x v="1"/>
    <d v="2026-03-04T15:42:00"/>
    <d v="2026-03-04T15:57:00"/>
    <d v="2026-03-04T16:04:00"/>
    <d v="2026-03-04T18:40:00"/>
    <x v="0"/>
    <n v="14.99999999650754"/>
    <n v="7.0000000018626451"/>
    <n v="155.99999999511056"/>
    <n v="177.99999999348074"/>
    <s v="OK"/>
  </r>
  <r>
    <s v="M992553"/>
    <x v="4"/>
    <x v="2"/>
    <s v="Swab"/>
    <x v="3"/>
    <d v="2026-03-02T11:08:00"/>
    <d v="2026-03-02T11:33:00"/>
    <d v="2026-03-02T11:56:00"/>
    <d v="2026-03-02T13:41:00"/>
    <x v="1"/>
    <n v="24.999999997671694"/>
    <n v="23.000000001629815"/>
    <n v="104.99999999650754"/>
    <n v="152.99999999580905"/>
    <s v="OK"/>
  </r>
  <r>
    <s v="M255803"/>
    <x v="5"/>
    <x v="3"/>
    <s v="Blood Culture"/>
    <x v="3"/>
    <d v="2026-03-01T11:40:00"/>
    <d v="2026-03-01T11:45:00"/>
    <d v="2026-03-01T12:03:00"/>
    <d v="2026-03-01T13:27:00"/>
    <x v="1"/>
    <n v="4.9999999953433871"/>
    <n v="17.999999995809048"/>
    <n v="84.000000001396984"/>
    <n v="106.99999999254942"/>
    <s v="OK"/>
  </r>
  <r>
    <s v="M681478"/>
    <x v="4"/>
    <x v="2"/>
    <s v="Swab"/>
    <x v="4"/>
    <d v="2026-03-05T10:24:00"/>
    <d v="2026-03-05T10:32:00"/>
    <d v="2026-03-05T10:51:00"/>
    <d v="2026-03-05T12:29:00"/>
    <x v="1"/>
    <n v="8.0000000051222742"/>
    <n v="18.999999999068677"/>
    <n v="98.000000005122274"/>
    <n v="125.00000000931323"/>
    <s v="OK"/>
  </r>
  <r>
    <s v="M546383"/>
    <x v="4"/>
    <x v="2"/>
    <s v="Swab"/>
    <x v="4"/>
    <d v="2026-03-05T19:03:00"/>
    <d v="2026-03-05T19:18:00"/>
    <d v="2026-03-05T19:27:00"/>
    <d v="2026-03-05T21:32:00"/>
    <x v="0"/>
    <n v="14.99999999650754"/>
    <n v="8.9999999979045242"/>
    <n v="124.99999999883585"/>
    <n v="148.99999999324791"/>
    <s v="OK"/>
  </r>
  <r>
    <s v="M938791"/>
    <x v="3"/>
    <x v="3"/>
    <s v="NP Swab"/>
    <x v="0"/>
    <d v="2026-03-01T17:59:00"/>
    <d v="2026-03-01T18:19:00"/>
    <d v="2026-03-01T18:43:00"/>
    <d v="2026-03-01T20:05:00"/>
    <x v="0"/>
    <n v="20.000000002328306"/>
    <n v="24.000000004889444"/>
    <n v="81.999999994877726"/>
    <n v="126.00000000209548"/>
    <s v="OK"/>
  </r>
  <r>
    <s v="M836333"/>
    <x v="1"/>
    <x v="1"/>
    <s v="Urine"/>
    <x v="2"/>
    <d v="2026-03-07T15:02:00"/>
    <d v="2026-03-07T15:22:00"/>
    <d v="2026-03-07T15:35:00"/>
    <d v="2026-03-07T21:37:00"/>
    <x v="0"/>
    <n v="20.000000002328306"/>
    <n v="13.000000000465661"/>
    <n v="361.99999999604188"/>
    <n v="394.99999999883585"/>
    <s v="OK"/>
  </r>
  <r>
    <s v="M286561"/>
    <x v="6"/>
    <x v="0"/>
    <s v="NP Swab"/>
    <x v="1"/>
    <d v="2026-03-06T12:09:00"/>
    <d v="2026-03-06T12:17:00"/>
    <d v="2026-03-06T12:40:00"/>
    <d v="2026-03-06T15:07:00"/>
    <x v="0"/>
    <n v="8.0000000051222742"/>
    <n v="23.000000001629815"/>
    <n v="146.99999999720603"/>
    <n v="178.00000000395812"/>
    <s v="OK"/>
  </r>
  <r>
    <s v="M311758"/>
    <x v="6"/>
    <x v="0"/>
    <s v="NP Swab"/>
    <x v="1"/>
    <d v="2026-03-01T11:53:00"/>
    <d v="2026-03-01T12:03:00"/>
    <d v="2026-03-01T12:22:00"/>
    <d v="2026-03-01T15:56:00"/>
    <x v="0"/>
    <n v="10.000000001164153"/>
    <n v="18.999999999068677"/>
    <n v="213.99999999557622"/>
    <n v="242.99999999580905"/>
    <s v="OK"/>
  </r>
  <r>
    <s v="M609857"/>
    <x v="6"/>
    <x v="0"/>
    <s v="NP Swab"/>
    <x v="2"/>
    <d v="2026-03-03T13:17:00"/>
    <d v="2026-03-03T13:23:00"/>
    <d v="2026-03-03T13:30:00"/>
    <d v="2026-03-03T15:45:00"/>
    <x v="0"/>
    <n v="5.9999999986030161"/>
    <n v="7.0000000018626451"/>
    <n v="135"/>
    <n v="148.00000000046566"/>
    <s v="OK"/>
  </r>
  <r>
    <s v="M397366"/>
    <x v="3"/>
    <x v="3"/>
    <s v="NP Swab"/>
    <x v="1"/>
    <d v="2026-03-04T12:18:00"/>
    <d v="2026-03-04T12:42:00"/>
    <d v="2026-03-04T13:06:00"/>
    <d v="2026-03-04T14:19:00"/>
    <x v="1"/>
    <n v="24.000000004889444"/>
    <n v="24.000000004889444"/>
    <n v="72.999999996973202"/>
    <n v="121.00000000675209"/>
    <s v="OK"/>
  </r>
  <r>
    <s v="M688833"/>
    <x v="1"/>
    <x v="1"/>
    <s v="Urine"/>
    <x v="1"/>
    <d v="2026-03-05T18:29:00"/>
    <d v="2026-03-05T18:35:00"/>
    <d v="2026-03-05T18:55:00"/>
    <d v="2026-03-06T00:15:00"/>
    <x v="1"/>
    <n v="5.9999999986030161"/>
    <n v="20.000000002328306"/>
    <n v="319.99999999534339"/>
    <n v="345.99999999627471"/>
    <s v="OK"/>
  </r>
  <r>
    <s v="M397815"/>
    <x v="1"/>
    <x v="1"/>
    <s v="Urine"/>
    <x v="1"/>
    <d v="2026-03-03T07:51:00"/>
    <d v="2026-03-03T08:14:00"/>
    <d v="2026-03-03T08:33:00"/>
    <d v="2026-03-03T13:59:00"/>
    <x v="1"/>
    <n v="23.000000001629815"/>
    <n v="18.999999999068677"/>
    <n v="326.00000000442378"/>
    <n v="368.00000000512227"/>
    <s v="OK"/>
  </r>
  <r>
    <s v="M308912"/>
    <x v="5"/>
    <x v="3"/>
    <s v="Blood Culture"/>
    <x v="4"/>
    <d v="2026-03-01T21:19:00"/>
    <d v="2026-03-01T21:45:00"/>
    <d v="2026-03-01T22:13:00"/>
    <d v="2026-03-01T23:15:00"/>
    <x v="2"/>
    <n v="26.000000000931323"/>
    <n v="27.999999996973202"/>
    <n v="62.000000003026798"/>
    <n v="116.00000000093132"/>
    <s v="OK"/>
  </r>
  <r>
    <s v="M488917"/>
    <x v="2"/>
    <x v="2"/>
    <s v="Vaginal/Rectal Swab"/>
    <x v="2"/>
    <d v="2026-03-06T19:46:00"/>
    <d v="2026-03-06T20:01:00"/>
    <d v="2026-03-06T20:07:00"/>
    <d v="2026-03-06T22:29:00"/>
    <x v="0"/>
    <n v="14.99999999650754"/>
    <n v="5.9999999986030161"/>
    <n v="142.00000000186265"/>
    <n v="162.9999999969732"/>
    <s v="OK"/>
  </r>
  <r>
    <s v="M221232"/>
    <x v="0"/>
    <x v="0"/>
    <s v="Stool"/>
    <x v="3"/>
    <d v="2026-03-05T20:07:00"/>
    <d v="2026-03-05T20:34:00"/>
    <d v="2026-03-05T21:01:00"/>
    <d v="2026-03-06T00:52:00"/>
    <x v="1"/>
    <n v="27.000000004190952"/>
    <n v="27.000000004190952"/>
    <n v="230.99999999860302"/>
    <n v="285.00000000698492"/>
    <s v="OK"/>
  </r>
  <r>
    <s v="M268925"/>
    <x v="1"/>
    <x v="1"/>
    <s v="Urine"/>
    <x v="2"/>
    <d v="2026-03-06T07:22:00"/>
    <d v="2026-03-06T07:52:00"/>
    <d v="2026-03-06T07:59:00"/>
    <d v="2026-03-06T13:44:00"/>
    <x v="1"/>
    <n v="30.00000000349246"/>
    <n v="7.0000000018626451"/>
    <n v="345.00000000349246"/>
    <n v="382.00000000884756"/>
    <s v="OK"/>
  </r>
  <r>
    <s v="M265011"/>
    <x v="5"/>
    <x v="3"/>
    <s v="Blood Culture"/>
    <x v="4"/>
    <d v="2026-03-05T07:58:00"/>
    <d v="2026-03-05T08:16:00"/>
    <d v="2026-03-05T08:40:00"/>
    <d v="2026-03-05T09:54:00"/>
    <x v="1"/>
    <n v="17.999999995809048"/>
    <n v="24.000000004889444"/>
    <n v="74.000000000232831"/>
    <n v="116.00000000093132"/>
    <s v="OK"/>
  </r>
  <r>
    <s v="M217486"/>
    <x v="4"/>
    <x v="2"/>
    <s v="Swab"/>
    <x v="3"/>
    <d v="2026-03-03T08:13:00"/>
    <d v="2026-03-03T08:27:00"/>
    <d v="2026-03-03T08:47:00"/>
    <d v="2026-03-03T10:22:00"/>
    <x v="1"/>
    <n v="14.00000000372529"/>
    <n v="20.000000002328306"/>
    <n v="94.999999995343387"/>
    <n v="129.00000000139698"/>
    <s v="OK"/>
  </r>
  <r>
    <s v="M319722"/>
    <x v="1"/>
    <x v="1"/>
    <s v="Urine"/>
    <x v="1"/>
    <d v="2026-03-06T14:54:00"/>
    <d v="2026-03-06T15:22:00"/>
    <d v="2026-03-06T15:39:00"/>
    <d v="2026-03-06T19:42:00"/>
    <x v="0"/>
    <n v="27.999999996973202"/>
    <n v="17.000000003026798"/>
    <n v="242.99999999580905"/>
    <n v="287.99999999580905"/>
    <s v="OK"/>
  </r>
  <r>
    <s v="M584425"/>
    <x v="5"/>
    <x v="3"/>
    <s v="Blood Culture"/>
    <x v="4"/>
    <d v="2026-03-06T07:06:00"/>
    <d v="2026-03-06T07:25:00"/>
    <d v="2026-03-06T07:35:00"/>
    <d v="2026-03-06T08:50:00"/>
    <x v="1"/>
    <n v="18.999999999068677"/>
    <n v="10.000000001164153"/>
    <n v="75.00000000349246"/>
    <n v="104.00000000372529"/>
    <s v="OK"/>
  </r>
  <r>
    <s v="M219120"/>
    <x v="1"/>
    <x v="1"/>
    <s v="Urine"/>
    <x v="2"/>
    <d v="2026-03-01T13:38:00"/>
    <d v="2026-03-01T14:02:00"/>
    <d v="2026-03-01T14:16:00"/>
    <d v="2026-03-01T18:36:00"/>
    <x v="0"/>
    <n v="24.000000004889444"/>
    <n v="14.00000000372529"/>
    <n v="259.99999999883585"/>
    <n v="298.00000000745058"/>
    <s v="OK"/>
  </r>
  <r>
    <s v="M157315"/>
    <x v="2"/>
    <x v="2"/>
    <s v="Vaginal/Rectal Swab"/>
    <x v="5"/>
    <d v="2026-03-05T22:44:00"/>
    <d v="2026-03-05T22:53:00"/>
    <d v="2026-03-05T23:17:00"/>
    <d v="2026-03-06T01:15:00"/>
    <x v="1"/>
    <n v="8.9999999979045242"/>
    <n v="24.000000004889444"/>
    <n v="117.9999999969732"/>
    <n v="150.99999999976717"/>
    <s v="OK"/>
  </r>
  <r>
    <s v="M711518"/>
    <x v="5"/>
    <x v="3"/>
    <s v="Blood Culture"/>
    <x v="3"/>
    <d v="2026-03-07T22:54:00"/>
    <d v="2026-03-07T23:00:00"/>
    <d v="2026-03-07T23:06:00"/>
    <d v="2026-03-08T00:23:00"/>
    <x v="1"/>
    <n v="5.9999999986030161"/>
    <n v="5.9999999986030161"/>
    <n v="76.999999999534339"/>
    <n v="88.999999996740371"/>
    <s v="OK"/>
  </r>
  <r>
    <s v="M630468"/>
    <x v="5"/>
    <x v="3"/>
    <s v="Blood Culture"/>
    <x v="3"/>
    <d v="2026-03-05T13:00:00"/>
    <d v="2026-03-05T13:06:00"/>
    <d v="2026-03-05T13:36:00"/>
    <d v="2026-03-05T14:59:00"/>
    <x v="1"/>
    <n v="5.9999999986030161"/>
    <n v="30.00000000349246"/>
    <n v="82.999999998137355"/>
    <n v="119.00000000023283"/>
    <s v="OK"/>
  </r>
  <r>
    <s v="M131538"/>
    <x v="6"/>
    <x v="0"/>
    <s v="NP Swab"/>
    <x v="1"/>
    <d v="2026-03-03T13:53:00"/>
    <d v="2026-03-03T14:09:00"/>
    <d v="2026-03-03T14:32:00"/>
    <d v="2026-03-03T18:08:00"/>
    <x v="0"/>
    <n v="15.999999999767169"/>
    <n v="23.000000001629815"/>
    <n v="216.00000000209548"/>
    <n v="255.00000000349246"/>
    <s v="OK"/>
  </r>
  <r>
    <s v="M578697"/>
    <x v="0"/>
    <x v="0"/>
    <s v="Stool"/>
    <x v="0"/>
    <d v="2026-03-05T11:18:00"/>
    <d v="2026-03-05T11:26:00"/>
    <d v="2026-03-05T11:52:00"/>
    <d v="2026-03-05T14:40:00"/>
    <x v="1"/>
    <n v="8.0000000051222742"/>
    <n v="26.000000000931323"/>
    <n v="168.00000000279397"/>
    <n v="202.00000000884756"/>
    <s v="OK"/>
  </r>
  <r>
    <s v="M447751"/>
    <x v="6"/>
    <x v="0"/>
    <s v="NP Swab"/>
    <x v="2"/>
    <d v="2026-03-06T08:35:00"/>
    <d v="2026-03-06T08:59:00"/>
    <d v="2026-03-06T09:17:00"/>
    <d v="2026-03-06T13:15:00"/>
    <x v="1"/>
    <n v="24.000000004889444"/>
    <n v="17.999999995809048"/>
    <n v="238.00000000046566"/>
    <n v="280.00000000116415"/>
    <s v="OK"/>
  </r>
  <r>
    <s v="M653740"/>
    <x v="5"/>
    <x v="3"/>
    <s v="Blood Culture"/>
    <x v="3"/>
    <d v="2026-03-02T09:38:00"/>
    <d v="2026-03-02T09:56:00"/>
    <d v="2026-03-02T10:20:00"/>
    <d v="2026-03-02T11:20:00"/>
    <x v="1"/>
    <n v="17.999999995809048"/>
    <n v="24.000000004889444"/>
    <n v="59.99999999650754"/>
    <n v="101.99999999720603"/>
    <s v="OK"/>
  </r>
  <r>
    <s v="M334379"/>
    <x v="5"/>
    <x v="3"/>
    <s v="Blood Culture"/>
    <x v="3"/>
    <d v="2026-03-07T11:47:00"/>
    <d v="2026-03-07T12:09:00"/>
    <d v="2026-03-07T12:23:00"/>
    <d v="2026-03-07T13:44:00"/>
    <x v="1"/>
    <n v="21.999999998370185"/>
    <n v="14.00000000372529"/>
    <n v="81.000000002095476"/>
    <n v="117.00000000419095"/>
    <s v="OK"/>
  </r>
  <r>
    <s v="M144169"/>
    <x v="6"/>
    <x v="0"/>
    <s v="NP Swab"/>
    <x v="2"/>
    <d v="2026-03-04T21:06:00"/>
    <d v="2026-03-04T21:30:00"/>
    <d v="2026-03-04T21:43:00"/>
    <d v="2026-03-04T23:47:00"/>
    <x v="2"/>
    <n v="24.000000004889444"/>
    <n v="13.000000000465661"/>
    <n v="123.99999999557622"/>
    <n v="161.00000000093132"/>
    <s v="OK"/>
  </r>
  <r>
    <s v="M593501"/>
    <x v="6"/>
    <x v="0"/>
    <s v="NP Swab"/>
    <x v="2"/>
    <d v="2026-03-05T08:45:00"/>
    <d v="2026-03-05T08:56:00"/>
    <d v="2026-03-05T09:02:00"/>
    <d v="2026-03-05T12:21:00"/>
    <x v="1"/>
    <n v="11.000000004423782"/>
    <n v="5.9999999986030161"/>
    <n v="198.99999999906868"/>
    <n v="216.00000000209548"/>
    <s v="OK"/>
  </r>
  <r>
    <s v="M554961"/>
    <x v="1"/>
    <x v="1"/>
    <s v="Urine"/>
    <x v="2"/>
    <d v="2026-03-03T19:19:00"/>
    <d v="2026-03-03T19:44:00"/>
    <d v="2026-03-03T20:05:00"/>
    <d v="2026-03-04T01:31:00"/>
    <x v="1"/>
    <n v="24.999999997671694"/>
    <n v="20.999999995110556"/>
    <n v="326.00000000442378"/>
    <n v="371.99999999720603"/>
    <s v="OK"/>
  </r>
  <r>
    <s v="M284935"/>
    <x v="1"/>
    <x v="1"/>
    <s v="Urine"/>
    <x v="2"/>
    <d v="2026-03-06T22:20:00"/>
    <d v="2026-03-06T22:45:00"/>
    <d v="2026-03-06T22:50:00"/>
    <d v="2026-03-07T03:06:00"/>
    <x v="1"/>
    <n v="24.999999997671694"/>
    <n v="4.9999999953433871"/>
    <n v="255.99999999627471"/>
    <n v="285.99999998928979"/>
    <s v="OK"/>
  </r>
  <r>
    <s v="M107428"/>
    <x v="4"/>
    <x v="2"/>
    <s v="Swab"/>
    <x v="4"/>
    <d v="2026-03-02T11:54:00"/>
    <d v="2026-03-02T12:07:00"/>
    <d v="2026-03-02T12:27:00"/>
    <d v="2026-03-02T14:31:00"/>
    <x v="1"/>
    <n v="13.000000000465661"/>
    <n v="20.000000002328306"/>
    <n v="123.99999999557622"/>
    <n v="156.99999999837019"/>
    <s v="OK"/>
  </r>
  <r>
    <s v="M779591"/>
    <x v="0"/>
    <x v="0"/>
    <s v="Stool"/>
    <x v="3"/>
    <d v="2026-03-07T22:59:00"/>
    <d v="2026-03-07T23:26:00"/>
    <d v="2026-03-07T23:52:00"/>
    <d v="2026-03-08T03:49:00"/>
    <x v="1"/>
    <n v="27.000000004190952"/>
    <n v="26.000000000931323"/>
    <n v="236.99999999720603"/>
    <n v="290.00000000232831"/>
    <s v="OK"/>
  </r>
  <r>
    <s v="M716810"/>
    <x v="5"/>
    <x v="3"/>
    <s v="Blood Culture"/>
    <x v="4"/>
    <d v="2026-03-04T12:52:00"/>
    <d v="2026-03-04T13:05:00"/>
    <d v="2026-03-04T13:10:00"/>
    <d v="2026-03-04T14:39:00"/>
    <x v="1"/>
    <n v="13.000000000465661"/>
    <n v="4.9999999953433871"/>
    <n v="88.999999996740371"/>
    <n v="106.99999999254942"/>
    <s v="OK"/>
  </r>
  <r>
    <s v="M682034"/>
    <x v="2"/>
    <x v="2"/>
    <s v="Vaginal/Rectal Swab"/>
    <x v="5"/>
    <d v="2026-03-06T14:20:00"/>
    <d v="2026-03-06T14:38:00"/>
    <d v="2026-03-06T14:44:00"/>
    <d v="2026-03-06T16:23:00"/>
    <x v="0"/>
    <n v="17.999999995809048"/>
    <n v="5.9999999986030161"/>
    <n v="98.999999997904524"/>
    <n v="122.99999999231659"/>
    <s v="OK"/>
  </r>
  <r>
    <s v="M941000"/>
    <x v="1"/>
    <x v="1"/>
    <s v="Urine"/>
    <x v="1"/>
    <d v="2026-03-04T17:29:00"/>
    <d v="2026-03-04T17:38:00"/>
    <d v="2026-03-04T17:45:00"/>
    <d v="2026-03-04T23:57:00"/>
    <x v="2"/>
    <n v="8.9999999979045242"/>
    <n v="7.0000000018626451"/>
    <n v="371.99999999720603"/>
    <n v="387.9999999969732"/>
    <s v="OK"/>
  </r>
  <r>
    <s v="M314511"/>
    <x v="4"/>
    <x v="2"/>
    <s v="Swab"/>
    <x v="3"/>
    <d v="2026-03-01T08:53:00"/>
    <d v="2026-03-01T09:03:00"/>
    <d v="2026-03-01T09:20:00"/>
    <d v="2026-03-01T11:44:00"/>
    <x v="1"/>
    <n v="10.000000001164153"/>
    <n v="17.000000003026798"/>
    <n v="143.99999999790452"/>
    <n v="171.00000000209548"/>
    <s v="OK"/>
  </r>
  <r>
    <s v="M407419"/>
    <x v="5"/>
    <x v="3"/>
    <s v="Blood Culture"/>
    <x v="3"/>
    <d v="2026-03-01T22:09:00"/>
    <d v="2026-03-01T22:25:00"/>
    <d v="2026-03-01T22:32:00"/>
    <d v="2026-03-01T23:48:00"/>
    <x v="2"/>
    <n v="15.999999999767169"/>
    <n v="7.0000000018626451"/>
    <n v="75.99999999627471"/>
    <n v="98.999999997904524"/>
    <s v="OK"/>
  </r>
  <r>
    <s v="M146218"/>
    <x v="3"/>
    <x v="3"/>
    <s v="NP Swab"/>
    <x v="3"/>
    <d v="2026-03-03T06:41:00"/>
    <d v="2026-03-03T07:04:00"/>
    <d v="2026-03-03T07:17:00"/>
    <d v="2026-03-03T08:21:00"/>
    <x v="1"/>
    <n v="23.000000001629815"/>
    <n v="13.000000000465661"/>
    <n v="63.999999999068677"/>
    <n v="100.00000000116415"/>
    <s v="OK"/>
  </r>
  <r>
    <s v="M609268"/>
    <x v="4"/>
    <x v="2"/>
    <s v="Swab"/>
    <x v="4"/>
    <d v="2026-03-04T21:43:00"/>
    <d v="2026-03-04T22:06:00"/>
    <d v="2026-03-04T22:21:00"/>
    <d v="2026-03-04T23:58:00"/>
    <x v="2"/>
    <n v="23.000000001629815"/>
    <n v="14.99999999650754"/>
    <n v="97.000000001862645"/>
    <n v="135"/>
    <s v="OK"/>
  </r>
  <r>
    <s v="M993308"/>
    <x v="1"/>
    <x v="1"/>
    <s v="Urine"/>
    <x v="2"/>
    <d v="2026-03-03T21:10:00"/>
    <d v="2026-03-03T21:28:00"/>
    <d v="2026-03-03T21:42:00"/>
    <d v="2026-03-04T04:06:00"/>
    <x v="1"/>
    <n v="17.999999995809048"/>
    <n v="14.00000000372529"/>
    <n v="384.00000000488944"/>
    <n v="416.00000000442378"/>
    <s v="OK"/>
  </r>
  <r>
    <s v="M187122"/>
    <x v="2"/>
    <x v="2"/>
    <s v="Vaginal/Rectal Swab"/>
    <x v="2"/>
    <d v="2026-03-06T18:42:00"/>
    <d v="2026-03-06T19:09:00"/>
    <d v="2026-03-06T19:24:00"/>
    <d v="2026-03-06T21:00:00"/>
    <x v="0"/>
    <n v="27.000000004190952"/>
    <n v="14.99999999650754"/>
    <n v="95.999999998603016"/>
    <n v="137.99999999930151"/>
    <s v="OK"/>
  </r>
  <r>
    <s v="M218812"/>
    <x v="2"/>
    <x v="2"/>
    <s v="Vaginal/Rectal Swab"/>
    <x v="5"/>
    <d v="2026-03-02T07:21:00"/>
    <d v="2026-03-02T07:35:00"/>
    <d v="2026-03-02T08:03:00"/>
    <d v="2026-03-02T09:57:00"/>
    <x v="1"/>
    <n v="14.00000000372529"/>
    <n v="27.999999996973202"/>
    <n v="114.00000000488944"/>
    <n v="156.00000000558794"/>
    <s v="OK"/>
  </r>
  <r>
    <s v="M231169"/>
    <x v="4"/>
    <x v="2"/>
    <s v="Swab"/>
    <x v="3"/>
    <d v="2026-03-04T18:01:00"/>
    <d v="2026-03-04T18:11:00"/>
    <d v="2026-03-04T18:24:00"/>
    <d v="2026-03-04T19:55:00"/>
    <x v="0"/>
    <n v="10.000000001164153"/>
    <n v="13.000000000465661"/>
    <n v="91.000000003259629"/>
    <n v="114.00000000488944"/>
    <s v="OK"/>
  </r>
  <r>
    <s v="M410628"/>
    <x v="3"/>
    <x v="3"/>
    <s v="NP Swab"/>
    <x v="0"/>
    <d v="2026-03-04T15:04:00"/>
    <d v="2026-03-04T15:19:00"/>
    <d v="2026-03-04T15:47:00"/>
    <d v="2026-03-04T17:04:00"/>
    <x v="0"/>
    <n v="14.99999999650754"/>
    <n v="27.999999996973202"/>
    <n v="76.999999999534339"/>
    <n v="119.99999999301508"/>
    <s v="OK"/>
  </r>
  <r>
    <s v="M420125"/>
    <x v="5"/>
    <x v="3"/>
    <s v="Blood Culture"/>
    <x v="4"/>
    <d v="2026-03-07T09:31:00"/>
    <d v="2026-03-07T09:59:00"/>
    <d v="2026-03-07T10:26:00"/>
    <d v="2026-03-07T11:42:00"/>
    <x v="1"/>
    <n v="27.999999996973202"/>
    <n v="27.000000004190952"/>
    <n v="75.99999999627471"/>
    <n v="130.99999999743886"/>
    <s v="OK"/>
  </r>
  <r>
    <s v="M260481"/>
    <x v="4"/>
    <x v="2"/>
    <s v="Swab"/>
    <x v="3"/>
    <d v="2026-03-07T07:21:00"/>
    <d v="2026-03-07T07:30:00"/>
    <d v="2026-03-07T07:38:00"/>
    <d v="2026-03-07T09:25:00"/>
    <x v="1"/>
    <n v="8.9999999979045242"/>
    <n v="8.0000000051222742"/>
    <n v="107.0000000030268"/>
    <n v="124.0000000060536"/>
    <s v="OK"/>
  </r>
  <r>
    <s v="M438202"/>
    <x v="2"/>
    <x v="2"/>
    <s v="Vaginal/Rectal Swab"/>
    <x v="5"/>
    <d v="2026-03-07T19:39:00"/>
    <d v="2026-03-07T19:55:00"/>
    <d v="2026-03-07T20:23:00"/>
    <d v="2026-03-07T22:06:00"/>
    <x v="0"/>
    <n v="15.999999999767169"/>
    <n v="27.999999996973202"/>
    <n v="103.00000000046566"/>
    <n v="146.99999999720603"/>
    <s v="OK"/>
  </r>
  <r>
    <s v="M361329"/>
    <x v="4"/>
    <x v="2"/>
    <s v="Swab"/>
    <x v="3"/>
    <d v="2026-03-06T07:50:00"/>
    <d v="2026-03-06T08:10:00"/>
    <d v="2026-03-06T08:34:00"/>
    <d v="2026-03-06T10:44:00"/>
    <x v="1"/>
    <n v="20.000000002328306"/>
    <n v="24.000000004889444"/>
    <n v="130.00000000465661"/>
    <n v="174.00000001187436"/>
    <s v="OK"/>
  </r>
  <r>
    <s v="M244321"/>
    <x v="4"/>
    <x v="2"/>
    <s v="Swab"/>
    <x v="4"/>
    <d v="2026-03-01T18:22:00"/>
    <d v="2026-03-01T18:34:00"/>
    <d v="2026-03-01T18:45:00"/>
    <d v="2026-03-01T20:35:00"/>
    <x v="0"/>
    <n v="11.999999997206032"/>
    <n v="11.000000004423782"/>
    <n v="110.00000000232831"/>
    <n v="133.00000000395812"/>
    <s v="OK"/>
  </r>
  <r>
    <s v="M931953"/>
    <x v="6"/>
    <x v="0"/>
    <s v="NP Swab"/>
    <x v="1"/>
    <d v="2026-03-01T08:49:00"/>
    <d v="2026-03-01T09:03:00"/>
    <d v="2026-03-01T09:13:00"/>
    <d v="2026-03-01T12:27:00"/>
    <x v="1"/>
    <n v="14.00000000372529"/>
    <n v="10.000000001164153"/>
    <n v="194.00000000372529"/>
    <n v="218.00000000861473"/>
    <s v="OK"/>
  </r>
  <r>
    <s v="M499841"/>
    <x v="6"/>
    <x v="0"/>
    <s v="NP Swab"/>
    <x v="1"/>
    <d v="2026-03-04T06:45:00"/>
    <d v="2026-03-04T07:10:00"/>
    <d v="2026-03-04T07:40:00"/>
    <d v="2026-03-04T10:39:00"/>
    <x v="1"/>
    <n v="24.999999997671694"/>
    <n v="30.00000000349246"/>
    <n v="178.99999999674037"/>
    <n v="233.99999999790452"/>
    <s v="OK"/>
  </r>
  <r>
    <s v="M234108"/>
    <x v="3"/>
    <x v="3"/>
    <s v="NP Swab"/>
    <x v="1"/>
    <d v="2026-03-07T13:18:00"/>
    <d v="2026-03-07T13:42:00"/>
    <d v="2026-03-07T13:56:00"/>
    <d v="2026-03-07T15:03:00"/>
    <x v="0"/>
    <n v="24.000000004889444"/>
    <n v="14.00000000372529"/>
    <n v="66.999999998370185"/>
    <n v="105.00000000698492"/>
    <s v="OK"/>
  </r>
  <r>
    <s v="M507209"/>
    <x v="3"/>
    <x v="3"/>
    <s v="NP Swab"/>
    <x v="0"/>
    <d v="2026-03-05T10:33:00"/>
    <d v="2026-03-05T10:42:00"/>
    <d v="2026-03-05T10:47:00"/>
    <d v="2026-03-05T12:02:00"/>
    <x v="1"/>
    <n v="8.9999999979045242"/>
    <n v="4.9999999953433871"/>
    <n v="75.00000000349246"/>
    <n v="88.999999996740371"/>
    <s v="OK"/>
  </r>
  <r>
    <s v="M120456"/>
    <x v="5"/>
    <x v="3"/>
    <s v="Blood Culture"/>
    <x v="4"/>
    <d v="2026-03-02T06:52:00"/>
    <d v="2026-03-02T07:00:00"/>
    <d v="2026-03-02T07:14:00"/>
    <d v="2026-03-02T08:19:00"/>
    <x v="1"/>
    <n v="8.0000000051222742"/>
    <n v="14.00000000372529"/>
    <n v="65.000000002328306"/>
    <n v="87.000000011175871"/>
    <s v="OK"/>
  </r>
  <r>
    <s v="M114195"/>
    <x v="3"/>
    <x v="3"/>
    <s v="NP Swab"/>
    <x v="1"/>
    <d v="2026-03-05T16:22:00"/>
    <d v="2026-03-05T16:45:00"/>
    <d v="2026-03-05T16:50:00"/>
    <d v="2026-03-05T18:02:00"/>
    <x v="0"/>
    <n v="23.000000001629815"/>
    <n v="4.9999999953433871"/>
    <n v="72.000000004190952"/>
    <n v="100.00000000116415"/>
    <s v="OK"/>
  </r>
  <r>
    <s v="M556262"/>
    <x v="1"/>
    <x v="1"/>
    <s v="Urine"/>
    <x v="1"/>
    <d v="2026-03-04T11:04:00"/>
    <d v="2026-03-04T11:31:00"/>
    <d v="2026-03-04T11:41:00"/>
    <d v="2026-03-04T16:23:00"/>
    <x v="0"/>
    <n v="27.000000004190952"/>
    <n v="10.000000001164153"/>
    <n v="281.99999999720603"/>
    <n v="319.00000000256114"/>
    <s v="OK"/>
  </r>
  <r>
    <s v="M468377"/>
    <x v="6"/>
    <x v="0"/>
    <s v="NP Swab"/>
    <x v="0"/>
    <d v="2026-03-03T21:34:00"/>
    <d v="2026-03-03T21:47:00"/>
    <d v="2026-03-03T22:04:00"/>
    <d v="2026-03-04T01:50:00"/>
    <x v="1"/>
    <n v="13.000000000465661"/>
    <n v="17.000000003026798"/>
    <n v="226.00000000325963"/>
    <n v="256.00000000675209"/>
    <s v="OK"/>
  </r>
  <r>
    <s v="M613392"/>
    <x v="2"/>
    <x v="2"/>
    <s v="Vaginal/Rectal Swab"/>
    <x v="5"/>
    <d v="2026-03-03T07:36:00"/>
    <d v="2026-03-03T08:06:00"/>
    <d v="2026-03-03T08:28:00"/>
    <d v="2026-03-03T10:34:00"/>
    <x v="1"/>
    <n v="30.00000000349246"/>
    <n v="21.999999998370185"/>
    <n v="126.00000000209548"/>
    <n v="178.00000000395812"/>
    <s v="OK"/>
  </r>
  <r>
    <s v="M260756"/>
    <x v="4"/>
    <x v="2"/>
    <s v="Swab"/>
    <x v="3"/>
    <d v="2026-03-01T06:46:00"/>
    <d v="2026-03-01T07:02:00"/>
    <d v="2026-03-01T07:28:00"/>
    <d v="2026-03-01T09:15:00"/>
    <x v="1"/>
    <n v="15.999999999767169"/>
    <n v="26.000000000931323"/>
    <n v="107.0000000030268"/>
    <n v="149.00000000372529"/>
    <s v="OK"/>
  </r>
  <r>
    <s v="M519363"/>
    <x v="4"/>
    <x v="2"/>
    <s v="Swab"/>
    <x v="4"/>
    <d v="2026-03-04T19:20:00"/>
    <d v="2026-03-04T19:45:00"/>
    <d v="2026-03-04T20:14:00"/>
    <d v="2026-03-04T22:23:00"/>
    <x v="0"/>
    <n v="24.999999997671694"/>
    <n v="29.000000000232831"/>
    <n v="129.00000000139698"/>
    <n v="182.99999999930151"/>
    <s v="OK"/>
  </r>
  <r>
    <s v="M222158"/>
    <x v="6"/>
    <x v="0"/>
    <s v="NP Swab"/>
    <x v="1"/>
    <d v="2026-03-03T11:02:00"/>
    <d v="2026-03-03T11:15:00"/>
    <d v="2026-03-03T11:24:00"/>
    <d v="2026-03-03T14:59:00"/>
    <x v="1"/>
    <n v="13.000000000465661"/>
    <n v="8.9999999979045242"/>
    <n v="214.99999999883585"/>
    <n v="236.99999999720603"/>
    <s v="OK"/>
  </r>
  <r>
    <s v="M530103"/>
    <x v="6"/>
    <x v="0"/>
    <s v="NP Swab"/>
    <x v="2"/>
    <d v="2026-03-05T12:30:00"/>
    <d v="2026-03-05T12:55:00"/>
    <d v="2026-03-05T13:14:00"/>
    <d v="2026-03-05T16:00:00"/>
    <x v="0"/>
    <n v="24.999999997671694"/>
    <n v="18.999999999068677"/>
    <n v="165.99999999627471"/>
    <n v="209.99999999301508"/>
    <s v="OK"/>
  </r>
  <r>
    <s v="M384923"/>
    <x v="3"/>
    <x v="3"/>
    <s v="NP Swab"/>
    <x v="0"/>
    <d v="2026-03-02T21:15:00"/>
    <d v="2026-03-02T21:22:00"/>
    <d v="2026-03-02T21:27:00"/>
    <d v="2026-03-02T22:47:00"/>
    <x v="0"/>
    <n v="7.0000000018626451"/>
    <n v="4.9999999953433871"/>
    <n v="79.999999998835847"/>
    <n v="91.999999996041879"/>
    <s v="OK"/>
  </r>
  <r>
    <s v="M479454"/>
    <x v="4"/>
    <x v="2"/>
    <s v="Swab"/>
    <x v="4"/>
    <d v="2026-03-01T17:05:00"/>
    <d v="2026-03-01T17:17:00"/>
    <d v="2026-03-01T17:27:00"/>
    <d v="2026-03-01T19:54:00"/>
    <x v="0"/>
    <n v="11.999999997206032"/>
    <n v="10.000000001164153"/>
    <n v="146.99999999720603"/>
    <n v="168.99999999557622"/>
    <s v="OK"/>
  </r>
  <r>
    <s v="M362104"/>
    <x v="5"/>
    <x v="3"/>
    <s v="Blood Culture"/>
    <x v="4"/>
    <d v="2026-03-03T08:05:00"/>
    <d v="2026-03-03T08:19:00"/>
    <d v="2026-03-03T08:39:00"/>
    <d v="2026-03-03T09:54:00"/>
    <x v="1"/>
    <n v="14.00000000372529"/>
    <n v="20.000000002328306"/>
    <n v="75.00000000349246"/>
    <n v="109.00000000954606"/>
    <s v="OK"/>
  </r>
  <r>
    <s v="M232541"/>
    <x v="2"/>
    <x v="2"/>
    <s v="Vaginal/Rectal Swab"/>
    <x v="5"/>
    <d v="2026-03-03T15:29:00"/>
    <d v="2026-03-03T15:54:00"/>
    <d v="2026-03-03T16:19:00"/>
    <d v="2026-03-03T18:15:00"/>
    <x v="0"/>
    <n v="24.999999997671694"/>
    <n v="24.999999997671694"/>
    <n v="116.00000000093132"/>
    <n v="165.99999999627471"/>
    <s v="OK"/>
  </r>
  <r>
    <s v="M741044"/>
    <x v="2"/>
    <x v="2"/>
    <s v="Vaginal/Rectal Swab"/>
    <x v="5"/>
    <d v="2026-03-02T14:33:00"/>
    <d v="2026-03-02T14:58:00"/>
    <d v="2026-03-02T15:18:00"/>
    <d v="2026-03-02T17:22:00"/>
    <x v="0"/>
    <n v="24.999999997671694"/>
    <n v="20.000000002328306"/>
    <n v="123.99999999557622"/>
    <n v="168.99999999557622"/>
    <s v="OK"/>
  </r>
  <r>
    <s v="M157370"/>
    <x v="1"/>
    <x v="1"/>
    <s v="Urine"/>
    <x v="2"/>
    <d v="2026-03-04T11:43:00"/>
    <d v="2026-03-04T12:13:00"/>
    <d v="2026-03-04T12:23:00"/>
    <d v="2026-03-04T16:49:00"/>
    <x v="0"/>
    <n v="30.00000000349246"/>
    <n v="10.000000001164153"/>
    <n v="265.99999999743886"/>
    <n v="306.00000000209548"/>
    <s v="OK"/>
  </r>
  <r>
    <s v="M261815"/>
    <x v="4"/>
    <x v="2"/>
    <s v="Swab"/>
    <x v="4"/>
    <d v="2026-03-02T09:01:00"/>
    <d v="2026-03-02T09:22:00"/>
    <d v="2026-03-02T09:40:00"/>
    <d v="2026-03-02T11:38:00"/>
    <x v="1"/>
    <n v="20.999999995110556"/>
    <n v="17.999999995809048"/>
    <n v="117.9999999969732"/>
    <n v="156.99999998789281"/>
    <s v="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r>
  <r>
    <x v="1"/>
  </r>
  <r>
    <x v="2"/>
  </r>
  <r>
    <x v="3"/>
  </r>
  <r>
    <x v="4"/>
  </r>
  <r>
    <x v="5"/>
  </r>
  <r>
    <x v="6"/>
  </r>
  <r>
    <x v="7"/>
  </r>
  <r>
    <x v="8"/>
  </r>
  <r>
    <x v="9"/>
  </r>
  <r>
    <x v="10"/>
  </r>
  <r>
    <x v="11"/>
  </r>
  <r>
    <x v="12"/>
  </r>
  <r>
    <x v="13"/>
  </r>
  <r>
    <x v="14"/>
  </r>
  <r>
    <x v="14"/>
  </r>
  <r>
    <x v="15"/>
  </r>
  <r>
    <x v="16"/>
  </r>
  <r>
    <x v="17"/>
  </r>
  <r>
    <x v="18"/>
  </r>
  <r>
    <x v="19"/>
  </r>
  <r>
    <x v="20"/>
  </r>
  <r>
    <x v="21"/>
  </r>
  <r>
    <x v="22"/>
  </r>
  <r>
    <x v="23"/>
  </r>
  <r>
    <x v="24"/>
  </r>
  <r>
    <x v="25"/>
  </r>
  <r>
    <x v="26"/>
  </r>
  <r>
    <x v="27"/>
  </r>
  <r>
    <x v="28"/>
  </r>
  <r>
    <x v="29"/>
  </r>
  <r>
    <x v="30"/>
  </r>
  <r>
    <x v="31"/>
  </r>
  <r>
    <x v="32"/>
  </r>
  <r>
    <x v="33"/>
  </r>
  <r>
    <x v="34"/>
  </r>
  <r>
    <x v="35"/>
  </r>
  <r>
    <x v="36"/>
  </r>
  <r>
    <x v="36"/>
  </r>
  <r>
    <x v="37"/>
  </r>
  <r>
    <x v="38"/>
  </r>
  <r>
    <x v="39"/>
  </r>
  <r>
    <x v="40"/>
  </r>
  <r>
    <x v="41"/>
  </r>
  <r>
    <x v="42"/>
  </r>
  <r>
    <x v="43"/>
  </r>
  <r>
    <x v="44"/>
  </r>
  <r>
    <x v="45"/>
  </r>
  <r>
    <x v="46"/>
  </r>
  <r>
    <x v="47"/>
  </r>
  <r>
    <x v="48"/>
  </r>
  <r>
    <x v="49"/>
  </r>
  <r>
    <x v="50"/>
  </r>
  <r>
    <x v="50"/>
  </r>
  <r>
    <x v="50"/>
  </r>
  <r>
    <x v="51"/>
  </r>
  <r>
    <x v="52"/>
  </r>
  <r>
    <x v="53"/>
  </r>
  <r>
    <x v="53"/>
  </r>
  <r>
    <x v="54"/>
  </r>
  <r>
    <x v="55"/>
  </r>
  <r>
    <x v="56"/>
  </r>
  <r>
    <x v="57"/>
  </r>
  <r>
    <x v="58"/>
  </r>
  <r>
    <x v="59"/>
  </r>
  <r>
    <x v="60"/>
  </r>
  <r>
    <x v="61"/>
  </r>
  <r>
    <x v="62"/>
  </r>
  <r>
    <x v="63"/>
  </r>
  <r>
    <x v="64"/>
  </r>
  <r>
    <x v="65"/>
  </r>
  <r>
    <x v="66"/>
  </r>
  <r>
    <x v="67"/>
  </r>
  <r>
    <x v="68"/>
  </r>
  <r>
    <x v="69"/>
  </r>
  <r>
    <x v="70"/>
  </r>
  <r>
    <x v="71"/>
  </r>
  <r>
    <x v="72"/>
  </r>
  <r>
    <x v="73"/>
  </r>
  <r>
    <x v="74"/>
  </r>
  <r>
    <x v="75"/>
  </r>
  <r>
    <x v="76"/>
  </r>
  <r>
    <x v="76"/>
  </r>
  <r>
    <x v="77"/>
  </r>
  <r>
    <x v="78"/>
  </r>
  <r>
    <x v="78"/>
  </r>
  <r>
    <x v="78"/>
  </r>
  <r>
    <x v="79"/>
  </r>
  <r>
    <x v="79"/>
  </r>
  <r>
    <x v="80"/>
  </r>
  <r>
    <x v="81"/>
  </r>
  <r>
    <x v="82"/>
  </r>
  <r>
    <x v="83"/>
  </r>
  <r>
    <x v="84"/>
  </r>
  <r>
    <x v="85"/>
  </r>
  <r>
    <x v="86"/>
  </r>
  <r>
    <x v="87"/>
  </r>
  <r>
    <x v="87"/>
  </r>
  <r>
    <x v="88"/>
  </r>
  <r>
    <x v="89"/>
  </r>
  <r>
    <x v="90"/>
  </r>
  <r>
    <x v="91"/>
  </r>
  <r>
    <x v="92"/>
  </r>
  <r>
    <x v="93"/>
  </r>
  <r>
    <x v="93"/>
  </r>
  <r>
    <x v="94"/>
  </r>
  <r>
    <x v="94"/>
  </r>
  <r>
    <x v="95"/>
  </r>
  <r>
    <x v="96"/>
  </r>
  <r>
    <x v="97"/>
  </r>
  <r>
    <x v="98"/>
  </r>
  <r>
    <x v="99"/>
  </r>
  <r>
    <x v="100"/>
  </r>
  <r>
    <x v="100"/>
  </r>
  <r>
    <x v="101"/>
  </r>
  <r>
    <x v="102"/>
  </r>
  <r>
    <x v="103"/>
  </r>
  <r>
    <x v="103"/>
  </r>
  <r>
    <x v="104"/>
  </r>
  <r>
    <x v="105"/>
  </r>
  <r>
    <x v="105"/>
  </r>
  <r>
    <x v="106"/>
  </r>
  <r>
    <x v="106"/>
  </r>
  <r>
    <x v="106"/>
  </r>
  <r>
    <x v="106"/>
  </r>
  <r>
    <x v="107"/>
  </r>
  <r>
    <x v="107"/>
  </r>
  <r>
    <x v="108"/>
  </r>
  <r>
    <x v="109"/>
  </r>
  <r>
    <x v="110"/>
  </r>
  <r>
    <x v="110"/>
  </r>
  <r>
    <x v="111"/>
  </r>
  <r>
    <x v="112"/>
  </r>
  <r>
    <x v="112"/>
  </r>
  <r>
    <x v="113"/>
  </r>
  <r>
    <x v="114"/>
  </r>
  <r>
    <x v="115"/>
  </r>
  <r>
    <x v="116"/>
  </r>
  <r>
    <x v="117"/>
  </r>
  <r>
    <x v="118"/>
  </r>
  <r>
    <x v="119"/>
  </r>
  <r>
    <x v="119"/>
  </r>
  <r>
    <x v="120"/>
  </r>
  <r>
    <x v="121"/>
  </r>
  <r>
    <x v="121"/>
  </r>
  <r>
    <x v="121"/>
  </r>
  <r>
    <x v="122"/>
  </r>
  <r>
    <x v="122"/>
  </r>
  <r>
    <x v="123"/>
  </r>
  <r>
    <x v="124"/>
  </r>
  <r>
    <x v="125"/>
  </r>
  <r>
    <x v="125"/>
  </r>
  <r>
    <x v="126"/>
  </r>
  <r>
    <x v="127"/>
  </r>
  <r>
    <x v="127"/>
  </r>
  <r>
    <x v="127"/>
  </r>
  <r>
    <x v="128"/>
  </r>
  <r>
    <x v="129"/>
  </r>
  <r>
    <x v="129"/>
  </r>
  <r>
    <x v="130"/>
  </r>
  <r>
    <x v="131"/>
  </r>
  <r>
    <x v="132"/>
  </r>
  <r>
    <x v="133"/>
  </r>
  <r>
    <x v="134"/>
  </r>
  <r>
    <x v="134"/>
  </r>
  <r>
    <x v="134"/>
  </r>
  <r>
    <x v="135"/>
  </r>
  <r>
    <x v="135"/>
  </r>
  <r>
    <x v="136"/>
  </r>
  <r>
    <x v="137"/>
  </r>
  <r>
    <x v="137"/>
  </r>
  <r>
    <x v="137"/>
  </r>
  <r>
    <x v="138"/>
  </r>
  <r>
    <x v="138"/>
  </r>
  <r>
    <x v="139"/>
  </r>
  <r>
    <x v="140"/>
  </r>
  <r>
    <x v="141"/>
  </r>
  <r>
    <x v="142"/>
  </r>
  <r>
    <x v="142"/>
  </r>
  <r>
    <x v="142"/>
  </r>
  <r>
    <x v="142"/>
  </r>
  <r>
    <x v="143"/>
  </r>
  <r>
    <x v="144"/>
  </r>
  <r>
    <x v="145"/>
  </r>
  <r>
    <x v="146"/>
  </r>
  <r>
    <x v="146"/>
  </r>
  <r>
    <x v="147"/>
  </r>
  <r>
    <x v="147"/>
  </r>
  <r>
    <x v="148"/>
  </r>
  <r>
    <x v="149"/>
  </r>
  <r>
    <x v="150"/>
  </r>
  <r>
    <x v="151"/>
  </r>
  <r>
    <x v="152"/>
  </r>
  <r>
    <x v="153"/>
  </r>
  <r>
    <x v="154"/>
  </r>
  <r>
    <x v="155"/>
  </r>
  <r>
    <x v="155"/>
  </r>
  <r>
    <x v="156"/>
  </r>
  <r>
    <x v="157"/>
  </r>
  <r>
    <x v="158"/>
  </r>
  <r>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D82CB-773B-48F7-9665-7C8F32D6EC3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B6" firstHeaderRow="1" firstDataRow="1" firstDataCol="1"/>
  <pivotFields count="15">
    <pivotField compact="0" outline="0" showAll="0"/>
    <pivotField compact="0" outline="0" showAll="0">
      <items count="8">
        <item x="5"/>
        <item x="0"/>
        <item x="6"/>
        <item x="1"/>
        <item x="2"/>
        <item x="4"/>
        <item x="3"/>
        <item t="default"/>
      </items>
    </pivotField>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7">
        <item x="0"/>
        <item x="4"/>
        <item x="3"/>
        <item x="5"/>
        <item x="2"/>
        <item x="1"/>
        <item t="default"/>
      </items>
    </pivotField>
    <pivotField compact="0" numFmtId="164" outline="0" showAll="0"/>
    <pivotField compact="0" numFmtId="164" outline="0" showAll="0"/>
    <pivotField compact="0" numFmtId="164" outline="0" showAll="0"/>
    <pivotField compact="0" numFmtId="164" outline="0" showAll="0"/>
    <pivotField compact="0" outline="0" showAll="0">
      <items count="4">
        <item x="1"/>
        <item x="0"/>
        <item x="2"/>
        <item t="default"/>
      </items>
    </pivotField>
    <pivotField compact="0" numFmtId="1" outline="0" showAll="0"/>
    <pivotField compact="0" numFmtId="1" outline="0" showAll="0"/>
    <pivotField compact="0" numFmtId="1" outline="0" showAll="0"/>
    <pivotField dataField="1" compact="0" numFmtId="1" outline="0" showAll="0"/>
    <pivotField compact="0" outline="0" showAll="0"/>
  </pivotFields>
  <rowFields count="1">
    <field x="2"/>
  </rowFields>
  <rowItems count="5">
    <i>
      <x v="2"/>
    </i>
    <i>
      <x/>
    </i>
    <i>
      <x v="3"/>
    </i>
    <i>
      <x v="1"/>
    </i>
    <i t="grand">
      <x/>
    </i>
  </rowItems>
  <colItems count="1">
    <i/>
  </colItems>
  <dataFields count="1">
    <dataField name="Average of Total_TAT_Min" fld="13" subtotal="average" baseField="0" baseItem="0" numFmtId="1"/>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3B8AA5-48A8-44C9-8B5E-B096C0BACF5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B8" firstHeaderRow="1" firstDataRow="1" firstDataCol="1"/>
  <pivotFields count="15">
    <pivotField compact="0" outline="0" showAll="0"/>
    <pivotField compact="0" outline="0" showAll="0">
      <items count="8">
        <item x="5"/>
        <item x="0"/>
        <item x="6"/>
        <item x="1"/>
        <item x="2"/>
        <item x="4"/>
        <item x="3"/>
        <item t="default"/>
      </items>
    </pivotField>
    <pivotField compact="0" outline="0" showAll="0">
      <items count="5">
        <item x="0"/>
        <item x="3"/>
        <item x="1"/>
        <item x="2"/>
        <item t="default"/>
      </items>
    </pivotField>
    <pivotField compact="0" outline="0" showAll="0"/>
    <pivotField axis="axisRow" compact="0" outline="0" showAll="0" sortType="descending">
      <items count="7">
        <item x="1"/>
        <item x="2"/>
        <item x="5"/>
        <item x="3"/>
        <item x="4"/>
        <item x="0"/>
        <item t="default"/>
      </items>
      <autoSortScope>
        <pivotArea dataOnly="0" outline="0" fieldPosition="0">
          <references count="1">
            <reference field="4294967294" count="1" selected="0">
              <x v="0"/>
            </reference>
          </references>
        </pivotArea>
      </autoSortScope>
    </pivotField>
    <pivotField compact="0" numFmtId="164" outline="0" showAll="0"/>
    <pivotField compact="0" numFmtId="164" outline="0" showAll="0"/>
    <pivotField compact="0" numFmtId="164" outline="0" showAll="0"/>
    <pivotField compact="0" numFmtId="164" outline="0" showAll="0"/>
    <pivotField compact="0" outline="0" showAll="0">
      <items count="4">
        <item x="1"/>
        <item x="0"/>
        <item x="2"/>
        <item t="default"/>
      </items>
    </pivotField>
    <pivotField compact="0" numFmtId="1" outline="0" showAll="0"/>
    <pivotField compact="0" numFmtId="1" outline="0" showAll="0"/>
    <pivotField compact="0" numFmtId="1" outline="0" showAll="0"/>
    <pivotField dataField="1" compact="0" numFmtId="1" outline="0" showAll="0"/>
    <pivotField compact="0" outline="0" showAll="0"/>
  </pivotFields>
  <rowFields count="1">
    <field x="4"/>
  </rowFields>
  <rowItems count="7">
    <i>
      <x v="1"/>
    </i>
    <i>
      <x/>
    </i>
    <i>
      <x v="5"/>
    </i>
    <i>
      <x v="2"/>
    </i>
    <i>
      <x v="3"/>
    </i>
    <i>
      <x v="4"/>
    </i>
    <i t="grand">
      <x/>
    </i>
  </rowItems>
  <colItems count="1">
    <i/>
  </colItems>
  <dataFields count="1">
    <dataField name="Average of Total_TAT_Min" fld="13" subtotal="average" baseField="0" baseItem="0" numFmtId="1"/>
  </dataFields>
  <chartFormats count="8">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2E530-277F-447E-80E3-C85D831DC47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B5" firstHeaderRow="1" firstDataRow="1" firstDataCol="1"/>
  <pivotFields count="15">
    <pivotField compact="0" outline="0" showAll="0"/>
    <pivotField compact="0" outline="0" showAll="0">
      <items count="8">
        <item x="5"/>
        <item x="0"/>
        <item x="6"/>
        <item x="1"/>
        <item x="2"/>
        <item x="4"/>
        <item x="3"/>
        <item t="default"/>
      </items>
    </pivotField>
    <pivotField compact="0" outline="0" showAll="0">
      <items count="5">
        <item x="0"/>
        <item x="3"/>
        <item x="1"/>
        <item x="2"/>
        <item t="default"/>
      </items>
    </pivotField>
    <pivotField compact="0" outline="0" showAll="0"/>
    <pivotField compact="0" outline="0" showAll="0" sortType="descending">
      <items count="7">
        <item x="1"/>
        <item x="2"/>
        <item x="5"/>
        <item x="3"/>
        <item x="4"/>
        <item x="0"/>
        <item t="default"/>
      </items>
      <autoSortScope>
        <pivotArea dataOnly="0" outline="0" fieldPosition="0">
          <references count="1">
            <reference field="4294967294" count="1" selected="0">
              <x v="0"/>
            </reference>
          </references>
        </pivotArea>
      </autoSortScope>
    </pivotField>
    <pivotField compact="0" numFmtId="164" outline="0" showAll="0"/>
    <pivotField compact="0" numFmtId="164" outline="0" showAll="0"/>
    <pivotField compact="0" numFmtId="164" outline="0" showAll="0"/>
    <pivotField compact="0" numFmtId="164" outline="0" showAll="0"/>
    <pivotField axis="axisRow" compact="0" outline="0" showAll="0" sortType="descending">
      <items count="4">
        <item x="1"/>
        <item x="0"/>
        <item x="2"/>
        <item t="default"/>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compact="0" numFmtId="1" outline="0" showAll="0"/>
    <pivotField dataField="1" compact="0" numFmtId="1" outline="0" showAll="0"/>
    <pivotField compact="0" outline="0" showAll="0"/>
  </pivotFields>
  <rowFields count="1">
    <field x="9"/>
  </rowFields>
  <rowItems count="4">
    <i>
      <x v="1"/>
    </i>
    <i>
      <x v="2"/>
    </i>
    <i>
      <x/>
    </i>
    <i t="grand">
      <x/>
    </i>
  </rowItems>
  <colItems count="1">
    <i/>
  </colItems>
  <dataFields count="1">
    <dataField name="Average of Total_TAT_Min" fld="13" subtotal="average" baseField="0" baseItem="0" numFmtId="1"/>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60503A-7E5D-447D-B0D4-CAC3E8E2137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B6" firstHeaderRow="1" firstDataRow="1" firstDataCol="1"/>
  <pivotFields count="15">
    <pivotField compact="0" outline="0" showAll="0"/>
    <pivotField compact="0" outline="0" showAll="0">
      <items count="8">
        <item x="5"/>
        <item x="0"/>
        <item x="6"/>
        <item x="1"/>
        <item x="2"/>
        <item x="4"/>
        <item x="3"/>
        <item t="default"/>
      </items>
    </pivotField>
    <pivotField axis="axisRow" dataField="1"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7">
        <item x="1"/>
        <item x="2"/>
        <item x="5"/>
        <item x="3"/>
        <item x="4"/>
        <item x="0"/>
        <item t="default"/>
      </items>
    </pivotField>
    <pivotField compact="0" numFmtId="164" outline="0" showAll="0"/>
    <pivotField compact="0" numFmtId="164" outline="0" showAll="0"/>
    <pivotField compact="0" numFmtId="164" outline="0" showAll="0"/>
    <pivotField compact="0" numFmtId="164" outline="0" showAll="0"/>
    <pivotField compact="0" outline="0" showAll="0">
      <items count="4">
        <item x="1"/>
        <item x="0"/>
        <item x="2"/>
        <item t="default"/>
      </items>
    </pivotField>
    <pivotField compact="0" numFmtId="1" outline="0" showAll="0"/>
    <pivotField compact="0" numFmtId="1" outline="0" showAll="0"/>
    <pivotField compact="0" numFmtId="1" outline="0" showAll="0"/>
    <pivotField compact="0" numFmtId="1" outline="0" showAll="0"/>
    <pivotField compact="0" outline="0" showAll="0"/>
  </pivotFields>
  <rowFields count="1">
    <field x="2"/>
  </rowFields>
  <rowItems count="5">
    <i>
      <x v="3"/>
    </i>
    <i>
      <x/>
    </i>
    <i>
      <x v="1"/>
    </i>
    <i>
      <x v="2"/>
    </i>
    <i t="grand">
      <x/>
    </i>
  </rowItems>
  <colItems count="1">
    <i/>
  </colItems>
  <dataFields count="1">
    <dataField name="Count of Platform" fld="2" subtotal="count" baseField="0" baseItem="0"/>
  </dataFields>
  <chartFormats count="5">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3E2A0-684B-46B0-99DA-0B9330699D2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
    <pivotField dataField="1" showAll="0">
      <items count="160">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58"/>
        <item t="default"/>
      </items>
    </pivotField>
  </pivotFields>
  <rowItems count="1">
    <i/>
  </rowItems>
  <colFields count="1">
    <field x="-2"/>
  </colFields>
  <colItems count="3">
    <i>
      <x/>
    </i>
    <i i="1">
      <x v="1"/>
    </i>
    <i i="2">
      <x v="2"/>
    </i>
  </colItems>
  <dataFields count="3">
    <dataField name="Average of Total_TAT_Min" fld="0" subtotal="average" baseField="0" baseItem="1" numFmtId="1"/>
    <dataField name="Max of Total_TAT_Min" fld="0" subtotal="max" baseField="0" baseItem="2"/>
    <dataField name="Count of Total_TAT_Min" fld="0" subtotal="count" baseField="0" baseItem="3"/>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Name" xr10:uid="{E980BA58-38B6-4B77-BAEE-A75C9CF90104}" sourceName="Test_Name">
  <pivotTables>
    <pivotTable tabId="2" name="PivotTable1"/>
    <pivotTable tabId="3" name="PivotTable1"/>
    <pivotTable tabId="5" name="PivotTable1"/>
    <pivotTable tabId="6" name="PivotTable1"/>
  </pivotTables>
  <data>
    <tabular pivotCacheId="1543269674">
      <items count="7">
        <i x="5" s="1"/>
        <i x="0" s="1"/>
        <i x="6"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324D3C3-8087-4BA6-AFFF-DAE8C7BD2CD0}" sourceName="Platform">
  <pivotTables>
    <pivotTable tabId="2" name="PivotTable1"/>
    <pivotTable tabId="3" name="PivotTable1"/>
    <pivotTable tabId="5" name="PivotTable1"/>
    <pivotTable tabId="6" name="PivotTable1"/>
  </pivotTables>
  <data>
    <tabular pivotCacheId="1543269674">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AAC9D80-FB7B-45A5-B2D9-B30A9D990F1A}" sourceName="Location">
  <pivotTables>
    <pivotTable tabId="2" name="PivotTable1"/>
    <pivotTable tabId="3" name="PivotTable1"/>
    <pivotTable tabId="5" name="PivotTable1"/>
    <pivotTable tabId="6" name="PivotTable1"/>
  </pivotTables>
  <data>
    <tabular pivotCacheId="1543269674">
      <items count="6">
        <i x="0" s="1"/>
        <i x="4" s="1"/>
        <i x="3" s="1"/>
        <i x="5"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7C486C13-5216-453F-A985-F606966ED206}" sourceName="Shift ">
  <pivotTables>
    <pivotTable tabId="2" name="PivotTable1"/>
    <pivotTable tabId="3" name="PivotTable1"/>
    <pivotTable tabId="5" name="PivotTable1"/>
    <pivotTable tabId="6" name="PivotTable1"/>
  </pivotTables>
  <data>
    <tabular pivotCacheId="154326967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_Name" xr10:uid="{294171C6-E4A4-4E45-BDFB-35C46EC1A2BB}" cache="Slicer_Test_Name" caption="Test_Name" rowHeight="228600"/>
  <slicer name="Platform" xr10:uid="{C8704090-A9AA-4C60-96A9-AE1C00C43D31}" cache="Slicer_Platform" caption="Platform" rowHeight="228600"/>
  <slicer name="Location" xr10:uid="{EC169CBD-1DAD-412D-A4C4-EF1A9E5E132B}" cache="Slicer_Location" caption="Location" rowHeight="228600"/>
  <slicer name="Shift " xr10:uid="{97E878A1-8C66-467E-9C2E-BE7F7EC03648}" cache="Slicer_Shift" caption="Shift "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6B1324-2828-4A50-9BCC-607363C4DB9D}" name="Table4" displayName="Table4" ref="A1:B4" totalsRowShown="0">
  <autoFilter ref="A1:B4" xr:uid="{D26B1324-2828-4A50-9BCC-607363C4DB9D}"/>
  <tableColumns count="2">
    <tableColumn id="1" xr3:uid="{99DD6DCD-499A-4C94-ACE6-BBB70103634E}" name="Stage"/>
    <tableColumn id="2" xr3:uid="{79A187E2-3A7F-4C5A-A37E-0D636905FFA8}" name="Avg Minu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3C3090-3F23-4BEC-889C-919136501AF0}" name="Table1" displayName="Table1" ref="A1:O201" totalsRowCount="1">
  <autoFilter ref="A1:O200" xr:uid="{9A3C3090-3F23-4BEC-889C-919136501AF0}"/>
  <sortState xmlns:xlrd2="http://schemas.microsoft.com/office/spreadsheetml/2017/richdata2" ref="A2:O200">
    <sortCondition descending="1" ref="N1:N200"/>
  </sortState>
  <tableColumns count="15">
    <tableColumn id="1" xr3:uid="{4867C2CB-AF76-4A78-B396-AEF29999CB30}" name="Order_ID"/>
    <tableColumn id="2" xr3:uid="{7DBF4C87-9F51-4723-AE71-E15B67B40673}" name="Test_Name" dataDxfId="20" totalsRowDxfId="11"/>
    <tableColumn id="3" xr3:uid="{77FAB57E-AD3B-4846-8BF8-C2F9366D70B0}" name="Platform"/>
    <tableColumn id="4" xr3:uid="{A58C5E7D-7321-4159-B414-B3D69C931FE6}" name="Specimen_Type"/>
    <tableColumn id="5" xr3:uid="{0DB7813B-12F1-4642-A61A-82EA64BDD59C}" name="Location"/>
    <tableColumn id="7" xr3:uid="{3A1D02CA-B339-4240-B039-49170282AAE9}" name="Order_Time" dataDxfId="19" totalsRowDxfId="10"/>
    <tableColumn id="8" xr3:uid="{936D4910-C974-4D67-94ED-1ECAD0E23474}" name="Collected_Time" dataDxfId="18" totalsRowDxfId="9"/>
    <tableColumn id="9" xr3:uid="{B7C7B331-1552-42E1-A88D-FF66E44FCD55}" name="Received_Time" dataDxfId="17" totalsRowDxfId="8"/>
    <tableColumn id="10" xr3:uid="{B3A0A7A6-6598-4F9F-9A54-CF60F60AD4DD}" name="Result_Time" dataDxfId="16" totalsRowDxfId="7"/>
    <tableColumn id="11" xr3:uid="{2DDD740A-D13A-43EA-A9E4-F9EF80409331}" name="Shift"/>
    <tableColumn id="12" xr3:uid="{2D85F452-CB57-4462-9F51-FB1C906CAEC3}" name="Order_to_Collect_Min" dataDxfId="15" totalsRowDxfId="6">
      <calculatedColumnFormula>(G2-F2)*1440</calculatedColumnFormula>
    </tableColumn>
    <tableColumn id="13" xr3:uid="{46A17179-E352-4AA6-9574-1FE8D29E77E4}" name="Collect_to_Receive_Min" dataDxfId="14" totalsRowDxfId="5">
      <calculatedColumnFormula>(H2-G2)*1440</calculatedColumnFormula>
    </tableColumn>
    <tableColumn id="14" xr3:uid="{2A5C03ED-230A-43CB-B03E-D9DC07A7E7AE}" name="Receive_to_Result_Min" dataDxfId="13" totalsRowDxfId="4">
      <calculatedColumnFormula>(I2-H2)*1440</calculatedColumnFormula>
    </tableColumn>
    <tableColumn id="15" xr3:uid="{ED08875C-1754-4E92-A076-B63270A43F3E}" name="Total_TAT_Min" dataDxfId="12" totalsRowDxfId="3">
      <calculatedColumnFormula>(I2-F2)*1440</calculatedColumnFormula>
    </tableColumn>
    <tableColumn id="16" xr3:uid="{306C9DF4-BEE0-495D-A9CA-0985D0E80016}" name="QA_Flag">
      <calculatedColumnFormula>IF(OR(K2&lt;0,L2&lt;0,M2&lt;0,N2&lt;0),"Check","OK")</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93C2-B128-41AB-8C85-AC9636120CB2}">
  <dimension ref="A1"/>
  <sheetViews>
    <sheetView zoomScale="70" zoomScaleNormal="70" workbookViewId="0">
      <selection activeCell="AA29" sqref="AA2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6486-5612-40DC-A3D9-D142C5A46C52}">
  <sheetPr>
    <pageSetUpPr fitToPage="1"/>
  </sheetPr>
  <dimension ref="A1:B7"/>
  <sheetViews>
    <sheetView showGridLines="0" tabSelected="1" zoomScale="70" zoomScaleNormal="70" workbookViewId="0">
      <selection activeCell="M16" sqref="M16"/>
    </sheetView>
  </sheetViews>
  <sheetFormatPr defaultRowHeight="15" x14ac:dyDescent="0.25"/>
  <cols>
    <col min="1" max="1" width="11.42578125" bestFit="1" customWidth="1"/>
    <col min="2" max="3" width="24.5703125" bestFit="1" customWidth="1"/>
    <col min="4" max="4" width="21.5703125" bestFit="1" customWidth="1"/>
    <col min="5" max="6" width="24.5703125" bestFit="1" customWidth="1"/>
    <col min="7" max="7" width="9.140625" customWidth="1"/>
  </cols>
  <sheetData>
    <row r="1" spans="1:2" ht="23.25" x14ac:dyDescent="0.35">
      <c r="A1" s="5"/>
    </row>
    <row r="7" spans="1:2" ht="14.25" customHeight="1" x14ac:dyDescent="0.35">
      <c r="B7" s="6"/>
    </row>
  </sheetData>
  <pageMargins left="0.70866141732283472" right="0.70866141732283472" top="0.74803149606299213" bottom="0.74803149606299213" header="0.31496062992125984" footer="0.31496062992125984"/>
  <pageSetup scale="3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FD78-9775-4EB7-8B01-6DCBFD93CCEE}">
  <dimension ref="A1"/>
  <sheetViews>
    <sheetView topLeftCell="A34" zoomScale="70" zoomScaleNormal="70" workbookViewId="0">
      <selection activeCell="F86" sqref="F8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A855-F8B3-4764-9657-4D64A2543B72}">
  <dimension ref="A1:B7"/>
  <sheetViews>
    <sheetView workbookViewId="0">
      <selection activeCell="C20" sqref="C20"/>
    </sheetView>
  </sheetViews>
  <sheetFormatPr defaultRowHeight="15" x14ac:dyDescent="0.25"/>
  <cols>
    <col min="1" max="1" width="32.5703125" bestFit="1" customWidth="1"/>
    <col min="2" max="2" width="32" bestFit="1" customWidth="1"/>
    <col min="3" max="3" width="30.85546875" bestFit="1" customWidth="1"/>
    <col min="4" max="6" width="27.42578125" bestFit="1" customWidth="1"/>
  </cols>
  <sheetData>
    <row r="1" spans="1:2" x14ac:dyDescent="0.25">
      <c r="A1" t="s">
        <v>0</v>
      </c>
      <c r="B1" t="s">
        <v>1</v>
      </c>
    </row>
    <row r="2" spans="1:2" x14ac:dyDescent="0.25">
      <c r="A2" t="s">
        <v>2</v>
      </c>
      <c r="B2">
        <v>17.8</v>
      </c>
    </row>
    <row r="3" spans="1:2" x14ac:dyDescent="0.25">
      <c r="A3" t="s">
        <v>3</v>
      </c>
      <c r="B3">
        <v>17.399999999999999</v>
      </c>
    </row>
    <row r="4" spans="1:2" x14ac:dyDescent="0.25">
      <c r="A4" t="s">
        <v>4</v>
      </c>
      <c r="B4">
        <v>166.9</v>
      </c>
    </row>
    <row r="7" spans="1:2" ht="14.25" customHeight="1" x14ac:dyDescent="0.25"/>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F738-79F8-4B0C-BB4E-57A1E1F9B5AB}">
  <dimension ref="A1:B6"/>
  <sheetViews>
    <sheetView workbookViewId="0">
      <selection activeCell="C24" sqref="C24"/>
    </sheetView>
  </sheetViews>
  <sheetFormatPr defaultRowHeight="15" x14ac:dyDescent="0.25"/>
  <cols>
    <col min="1" max="1" width="11.28515625" bestFit="1" customWidth="1"/>
    <col min="2" max="2" width="24.7109375" bestFit="1" customWidth="1"/>
  </cols>
  <sheetData>
    <row r="1" spans="1:2" x14ac:dyDescent="0.25">
      <c r="A1" s="4" t="s">
        <v>5</v>
      </c>
      <c r="B1" t="s">
        <v>6</v>
      </c>
    </row>
    <row r="2" spans="1:2" x14ac:dyDescent="0.25">
      <c r="A2" t="s">
        <v>7</v>
      </c>
      <c r="B2" s="3">
        <v>365.25641025661923</v>
      </c>
    </row>
    <row r="3" spans="1:2" x14ac:dyDescent="0.25">
      <c r="A3" t="s">
        <v>8</v>
      </c>
      <c r="B3" s="3">
        <v>220.06122449058944</v>
      </c>
    </row>
    <row r="4" spans="1:2" x14ac:dyDescent="0.25">
      <c r="A4" t="s">
        <v>9</v>
      </c>
      <c r="B4" s="3">
        <v>154.23188405901033</v>
      </c>
    </row>
    <row r="5" spans="1:2" x14ac:dyDescent="0.25">
      <c r="A5" t="s">
        <v>10</v>
      </c>
      <c r="B5" s="3">
        <v>108.33333333272354</v>
      </c>
    </row>
    <row r="6" spans="1:2" x14ac:dyDescent="0.25">
      <c r="A6" t="s">
        <v>11</v>
      </c>
      <c r="B6" s="3">
        <v>202.11055276428709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6E27-8174-419D-B9B7-BCD46F0AB48C}">
  <dimension ref="A1:B8"/>
  <sheetViews>
    <sheetView workbookViewId="0">
      <selection activeCell="A37" sqref="A37"/>
    </sheetView>
  </sheetViews>
  <sheetFormatPr defaultRowHeight="15" x14ac:dyDescent="0.25"/>
  <cols>
    <col min="1" max="1" width="22.28515625" bestFit="1" customWidth="1"/>
    <col min="2" max="2" width="24.7109375" bestFit="1" customWidth="1"/>
  </cols>
  <sheetData>
    <row r="1" spans="1:2" x14ac:dyDescent="0.25">
      <c r="A1" s="4" t="s">
        <v>12</v>
      </c>
      <c r="B1" t="s">
        <v>6</v>
      </c>
    </row>
    <row r="2" spans="1:2" x14ac:dyDescent="0.25">
      <c r="A2" t="s">
        <v>13</v>
      </c>
      <c r="B2" s="3">
        <v>267.46666666702367</v>
      </c>
    </row>
    <row r="3" spans="1:2" x14ac:dyDescent="0.25">
      <c r="A3" t="s">
        <v>14</v>
      </c>
      <c r="B3" s="3">
        <v>260.12195122002328</v>
      </c>
    </row>
    <row r="4" spans="1:2" x14ac:dyDescent="0.25">
      <c r="A4" t="s">
        <v>15</v>
      </c>
      <c r="B4" s="3">
        <v>190.84210526430979</v>
      </c>
    </row>
    <row r="5" spans="1:2" x14ac:dyDescent="0.25">
      <c r="A5" t="s">
        <v>16</v>
      </c>
      <c r="B5" s="3">
        <v>154.78947368364683</v>
      </c>
    </row>
    <row r="6" spans="1:2" x14ac:dyDescent="0.25">
      <c r="A6" t="s">
        <v>17</v>
      </c>
      <c r="B6" s="3">
        <v>154.42553191557229</v>
      </c>
    </row>
    <row r="7" spans="1:2" x14ac:dyDescent="0.25">
      <c r="A7" t="s">
        <v>18</v>
      </c>
      <c r="B7" s="3">
        <v>131.92857142903708</v>
      </c>
    </row>
    <row r="8" spans="1:2" x14ac:dyDescent="0.25">
      <c r="A8" t="s">
        <v>11</v>
      </c>
      <c r="B8" s="3">
        <v>202.11055276428709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796B-6A16-41BB-98E6-0F7EED8E4DCD}">
  <dimension ref="A1:B5"/>
  <sheetViews>
    <sheetView workbookViewId="0">
      <selection activeCell="I11" sqref="I11"/>
    </sheetView>
  </sheetViews>
  <sheetFormatPr defaultRowHeight="15" x14ac:dyDescent="0.25"/>
  <cols>
    <col min="1" max="1" width="11.28515625" bestFit="1" customWidth="1"/>
    <col min="2" max="2" width="24.7109375" bestFit="1" customWidth="1"/>
  </cols>
  <sheetData>
    <row r="1" spans="1:2" x14ac:dyDescent="0.25">
      <c r="A1" s="4" t="s">
        <v>19</v>
      </c>
      <c r="B1" t="s">
        <v>6</v>
      </c>
    </row>
    <row r="2" spans="1:2" x14ac:dyDescent="0.25">
      <c r="A2" t="s">
        <v>20</v>
      </c>
      <c r="B2" s="3">
        <v>210.64285714270747</v>
      </c>
    </row>
    <row r="3" spans="1:2" x14ac:dyDescent="0.25">
      <c r="A3" t="s">
        <v>21</v>
      </c>
      <c r="B3" s="3">
        <v>204.15384615601326</v>
      </c>
    </row>
    <row r="4" spans="1:2" x14ac:dyDescent="0.25">
      <c r="A4" t="s">
        <v>22</v>
      </c>
      <c r="B4" s="3">
        <v>194.82352941252483</v>
      </c>
    </row>
    <row r="5" spans="1:2" x14ac:dyDescent="0.25">
      <c r="A5" t="s">
        <v>11</v>
      </c>
      <c r="B5" s="3">
        <v>202.11055276428709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F35B3-C9E8-4E68-A7F7-289E25145091}">
  <dimension ref="A1:B6"/>
  <sheetViews>
    <sheetView workbookViewId="0">
      <selection activeCell="I14" sqref="I14"/>
    </sheetView>
  </sheetViews>
  <sheetFormatPr defaultRowHeight="15" x14ac:dyDescent="0.25"/>
  <cols>
    <col min="1" max="1" width="11.28515625" bestFit="1" customWidth="1"/>
    <col min="2" max="2" width="16.85546875" bestFit="1" customWidth="1"/>
  </cols>
  <sheetData>
    <row r="1" spans="1:2" x14ac:dyDescent="0.25">
      <c r="A1" s="4" t="s">
        <v>5</v>
      </c>
      <c r="B1" t="s">
        <v>23</v>
      </c>
    </row>
    <row r="2" spans="1:2" x14ac:dyDescent="0.25">
      <c r="A2" t="s">
        <v>9</v>
      </c>
      <c r="B2" s="7">
        <v>69</v>
      </c>
    </row>
    <row r="3" spans="1:2" x14ac:dyDescent="0.25">
      <c r="A3" t="s">
        <v>8</v>
      </c>
      <c r="B3" s="7">
        <v>49</v>
      </c>
    </row>
    <row r="4" spans="1:2" x14ac:dyDescent="0.25">
      <c r="A4" t="s">
        <v>10</v>
      </c>
      <c r="B4" s="7">
        <v>42</v>
      </c>
    </row>
    <row r="5" spans="1:2" x14ac:dyDescent="0.25">
      <c r="A5" t="s">
        <v>7</v>
      </c>
      <c r="B5" s="7">
        <v>39</v>
      </c>
    </row>
    <row r="6" spans="1:2" x14ac:dyDescent="0.25">
      <c r="A6" t="s">
        <v>11</v>
      </c>
      <c r="B6" s="7">
        <v>199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35B1-EB83-4FB6-896C-B96D5846557D}">
  <dimension ref="A3:D4"/>
  <sheetViews>
    <sheetView workbookViewId="0">
      <selection activeCell="A3" sqref="A3:D4"/>
    </sheetView>
  </sheetViews>
  <sheetFormatPr defaultRowHeight="15" x14ac:dyDescent="0.25"/>
  <cols>
    <col min="1" max="1" width="48.85546875" bestFit="1" customWidth="1"/>
    <col min="2" max="2" width="41.7109375" bestFit="1" customWidth="1"/>
    <col min="3" max="3" width="44.85546875" bestFit="1" customWidth="1"/>
    <col min="4" max="4" width="46.85546875" bestFit="1" customWidth="1"/>
  </cols>
  <sheetData>
    <row r="3" spans="1:4" ht="28.5" x14ac:dyDescent="0.45">
      <c r="A3" s="8" t="s">
        <v>6</v>
      </c>
      <c r="B3" s="8" t="s">
        <v>249</v>
      </c>
      <c r="C3" s="8" t="s">
        <v>250</v>
      </c>
      <c r="D3" s="12" t="s">
        <v>251</v>
      </c>
    </row>
    <row r="4" spans="1:4" ht="28.5" x14ac:dyDescent="0.45">
      <c r="A4" s="9">
        <v>202.11055276428709</v>
      </c>
      <c r="B4" s="10">
        <v>464.00000000372529</v>
      </c>
      <c r="C4" s="10">
        <v>199</v>
      </c>
      <c r="D4" s="11">
        <f>MEDIAN(Table1[Total_TAT_Min])</f>
        <v>167.00000001001172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opLeftCell="A184" workbookViewId="0">
      <selection activeCell="N2" sqref="N2:N200"/>
    </sheetView>
  </sheetViews>
  <sheetFormatPr defaultRowHeight="15" x14ac:dyDescent="0.25"/>
  <cols>
    <col min="1" max="1" width="11.28515625" bestFit="1" customWidth="1"/>
    <col min="2" max="2" width="17.28515625" bestFit="1" customWidth="1"/>
    <col min="3" max="3" width="11" bestFit="1" customWidth="1"/>
    <col min="4" max="4" width="19.28515625" bestFit="1" customWidth="1"/>
    <col min="5" max="5" width="22.28515625" bestFit="1" customWidth="1"/>
    <col min="6" max="6" width="13.85546875" style="2" bestFit="1" customWidth="1"/>
    <col min="7" max="7" width="17.7109375" bestFit="1" customWidth="1"/>
    <col min="8" max="8" width="17.42578125" bestFit="1" customWidth="1"/>
    <col min="9" max="9" width="14.28515625" style="2" bestFit="1" customWidth="1"/>
    <col min="10" max="10" width="8" bestFit="1" customWidth="1"/>
    <col min="11" max="11" width="23.28515625" bestFit="1" customWidth="1"/>
    <col min="12" max="12" width="25.28515625" style="3" bestFit="1" customWidth="1"/>
    <col min="13" max="13" width="24.7109375" style="3" bestFit="1" customWidth="1"/>
    <col min="14" max="14" width="16.7109375" style="3" bestFit="1" customWidth="1"/>
    <col min="15" max="15" width="10.5703125" bestFit="1" customWidth="1"/>
    <col min="16" max="16" width="14.140625" style="3" bestFit="1" customWidth="1"/>
  </cols>
  <sheetData>
    <row r="1" spans="1:15" x14ac:dyDescent="0.25">
      <c r="A1" t="s">
        <v>24</v>
      </c>
      <c r="B1" t="s">
        <v>25</v>
      </c>
      <c r="C1" t="s">
        <v>5</v>
      </c>
      <c r="D1" t="s">
        <v>26</v>
      </c>
      <c r="E1" t="s">
        <v>12</v>
      </c>
      <c r="F1" s="2" t="s">
        <v>27</v>
      </c>
      <c r="G1" t="s">
        <v>246</v>
      </c>
      <c r="H1" t="s">
        <v>247</v>
      </c>
      <c r="I1" s="2" t="s">
        <v>28</v>
      </c>
      <c r="J1" t="s">
        <v>248</v>
      </c>
      <c r="K1" s="3" t="s">
        <v>29</v>
      </c>
      <c r="L1" s="3" t="s">
        <v>30</v>
      </c>
      <c r="M1" s="3" t="s">
        <v>31</v>
      </c>
      <c r="N1" s="3" t="s">
        <v>32</v>
      </c>
      <c r="O1" t="s">
        <v>33</v>
      </c>
    </row>
    <row r="2" spans="1:15" x14ac:dyDescent="0.25">
      <c r="A2" t="s">
        <v>124</v>
      </c>
      <c r="B2" s="1" t="s">
        <v>38</v>
      </c>
      <c r="C2" t="s">
        <v>7</v>
      </c>
      <c r="D2" t="s">
        <v>39</v>
      </c>
      <c r="E2" t="s">
        <v>13</v>
      </c>
      <c r="F2" s="2">
        <v>46084.783333333333</v>
      </c>
      <c r="G2" s="2">
        <v>46084.796527777777</v>
      </c>
      <c r="H2" s="2">
        <v>46084.817361111112</v>
      </c>
      <c r="I2" s="2">
        <v>46085.105555555558</v>
      </c>
      <c r="J2" t="s">
        <v>22</v>
      </c>
      <c r="K2" s="3">
        <f>(G2-F2)*1440</f>
        <v>18.999999999068677</v>
      </c>
      <c r="L2" s="3">
        <f>(H2-G2)*1440</f>
        <v>30.00000000349246</v>
      </c>
      <c r="M2" s="3">
        <f>(I2-H2)*1440</f>
        <v>415.00000000116415</v>
      </c>
      <c r="N2" s="3">
        <f>(I2-F2)*1440</f>
        <v>464.00000000372529</v>
      </c>
      <c r="O2" t="str">
        <f>IF(OR(K2&lt;0,L2&lt;0,M2&lt;0,N2&lt;0),"Check","OK")</f>
        <v>OK</v>
      </c>
    </row>
    <row r="3" spans="1:15" x14ac:dyDescent="0.25">
      <c r="A3" t="s">
        <v>77</v>
      </c>
      <c r="B3" s="1" t="s">
        <v>38</v>
      </c>
      <c r="C3" t="s">
        <v>7</v>
      </c>
      <c r="D3" t="s">
        <v>39</v>
      </c>
      <c r="E3" t="s">
        <v>14</v>
      </c>
      <c r="F3" s="2">
        <v>46087.322916666664</v>
      </c>
      <c r="G3" s="2">
        <v>46087.338194444441</v>
      </c>
      <c r="H3" s="2">
        <v>46087.356249999997</v>
      </c>
      <c r="I3" s="2">
        <v>46087.63680555555</v>
      </c>
      <c r="J3" t="s">
        <v>20</v>
      </c>
      <c r="K3" s="3">
        <f>(G3-F3)*1440</f>
        <v>21.999999998370185</v>
      </c>
      <c r="L3" s="3">
        <f>(H3-G3)*1440</f>
        <v>26.000000000931323</v>
      </c>
      <c r="M3" s="3">
        <f>(I3-H3)*1440</f>
        <v>403.99999999674037</v>
      </c>
      <c r="N3" s="3">
        <f>(I3-F3)*1440</f>
        <v>451.99999999604188</v>
      </c>
      <c r="O3" t="str">
        <f>IF(OR(K3&lt;0,L3&lt;0,M3&lt;0,N3&lt;0),"Check","OK")</f>
        <v>OK</v>
      </c>
    </row>
    <row r="4" spans="1:15" x14ac:dyDescent="0.25">
      <c r="A4" t="s">
        <v>91</v>
      </c>
      <c r="B4" s="1" t="s">
        <v>38</v>
      </c>
      <c r="C4" t="s">
        <v>7</v>
      </c>
      <c r="D4" t="s">
        <v>39</v>
      </c>
      <c r="E4" t="s">
        <v>13</v>
      </c>
      <c r="F4" s="2">
        <v>46087.916666666664</v>
      </c>
      <c r="G4" s="2">
        <v>46087.923611111109</v>
      </c>
      <c r="H4" s="2">
        <v>46087.9375</v>
      </c>
      <c r="I4" s="2">
        <v>46088.222222222219</v>
      </c>
      <c r="J4" t="s">
        <v>22</v>
      </c>
      <c r="K4" s="3">
        <f>(G4-F4)*1440</f>
        <v>10.000000001164153</v>
      </c>
      <c r="L4" s="3">
        <f>(H4-G4)*1440</f>
        <v>20.000000002328306</v>
      </c>
      <c r="M4" s="3">
        <f>(I4-H4)*1440</f>
        <v>409.99999999534339</v>
      </c>
      <c r="N4" s="3">
        <f>(I4-F4)*1440</f>
        <v>439.99999999883585</v>
      </c>
      <c r="O4" t="str">
        <f>IF(OR(K4&lt;0,L4&lt;0,M4&lt;0,N4&lt;0),"Check","OK")</f>
        <v>OK</v>
      </c>
    </row>
    <row r="5" spans="1:15" x14ac:dyDescent="0.25">
      <c r="A5" t="s">
        <v>170</v>
      </c>
      <c r="B5" s="1" t="s">
        <v>38</v>
      </c>
      <c r="C5" t="s">
        <v>7</v>
      </c>
      <c r="D5" t="s">
        <v>39</v>
      </c>
      <c r="E5" t="s">
        <v>14</v>
      </c>
      <c r="F5" s="2">
        <v>46086.871527777781</v>
      </c>
      <c r="G5" s="2">
        <v>46086.875694444447</v>
      </c>
      <c r="H5" s="2">
        <v>46086.888888888891</v>
      </c>
      <c r="I5" s="2">
        <v>46087.170833333337</v>
      </c>
      <c r="J5" t="s">
        <v>22</v>
      </c>
      <c r="K5" s="3">
        <f>(G5-F5)*1440</f>
        <v>5.9999999986030161</v>
      </c>
      <c r="L5" s="3">
        <f>(H5-G5)*1440</f>
        <v>18.999999999068677</v>
      </c>
      <c r="M5" s="3">
        <f>(I5-H5)*1440</f>
        <v>406.00000000325963</v>
      </c>
      <c r="N5" s="3">
        <f>(I5-F5)*1440</f>
        <v>431.00000000093132</v>
      </c>
      <c r="O5" t="str">
        <f>IF(OR(K5&lt;0,L5&lt;0,M5&lt;0,N5&lt;0),"Check","OK")</f>
        <v>OK</v>
      </c>
    </row>
    <row r="6" spans="1:15" x14ac:dyDescent="0.25">
      <c r="A6" t="s">
        <v>68</v>
      </c>
      <c r="B6" s="1" t="s">
        <v>38</v>
      </c>
      <c r="C6" t="s">
        <v>7</v>
      </c>
      <c r="D6" t="s">
        <v>39</v>
      </c>
      <c r="E6" t="s">
        <v>13</v>
      </c>
      <c r="F6" s="2">
        <v>46082.383333333331</v>
      </c>
      <c r="G6" s="2">
        <v>46082.402777777774</v>
      </c>
      <c r="H6" s="2">
        <v>46082.409722222219</v>
      </c>
      <c r="I6" s="2">
        <v>46082.680555555555</v>
      </c>
      <c r="J6" t="s">
        <v>20</v>
      </c>
      <c r="K6" s="3">
        <f>(G6-F6)*1440</f>
        <v>27.999999996973202</v>
      </c>
      <c r="L6" s="3">
        <f>(H6-G6)*1440</f>
        <v>10.000000001164153</v>
      </c>
      <c r="M6" s="3">
        <f>(I6-H6)*1440</f>
        <v>390.00000000349246</v>
      </c>
      <c r="N6" s="3">
        <f>(I6-F6)*1440</f>
        <v>428.00000000162981</v>
      </c>
      <c r="O6" t="str">
        <f>IF(OR(K6&lt;0,L6&lt;0,M6&lt;0,N6&lt;0),"Check","OK")</f>
        <v>OK</v>
      </c>
    </row>
    <row r="7" spans="1:15" x14ac:dyDescent="0.25">
      <c r="A7" t="s">
        <v>161</v>
      </c>
      <c r="B7" s="1" t="s">
        <v>38</v>
      </c>
      <c r="C7" t="s">
        <v>7</v>
      </c>
      <c r="D7" t="s">
        <v>39</v>
      </c>
      <c r="E7" t="s">
        <v>13</v>
      </c>
      <c r="F7" s="2">
        <v>46085.459722222222</v>
      </c>
      <c r="G7" s="2">
        <v>46085.476388888892</v>
      </c>
      <c r="H7" s="2">
        <v>46085.495138888895</v>
      </c>
      <c r="I7" s="2">
        <v>46085.756250000006</v>
      </c>
      <c r="J7" t="s">
        <v>20</v>
      </c>
      <c r="K7" s="3">
        <f>(G7-F7)*1440</f>
        <v>24.000000004889444</v>
      </c>
      <c r="L7" s="3">
        <f>(H7-G7)*1440</f>
        <v>27.000000004190952</v>
      </c>
      <c r="M7" s="3">
        <f>(I7-H7)*1440</f>
        <v>375.99999999976717</v>
      </c>
      <c r="N7" s="3">
        <f>(I7-F7)*1440</f>
        <v>427.00000000884756</v>
      </c>
      <c r="O7" t="str">
        <f>IF(OR(K7&lt;0,L7&lt;0,M7&lt;0,N7&lt;0),"Check","OK")</f>
        <v>OK</v>
      </c>
    </row>
    <row r="8" spans="1:15" x14ac:dyDescent="0.25">
      <c r="A8" t="s">
        <v>162</v>
      </c>
      <c r="B8" s="1" t="s">
        <v>38</v>
      </c>
      <c r="C8" t="s">
        <v>7</v>
      </c>
      <c r="D8" t="s">
        <v>39</v>
      </c>
      <c r="E8" t="s">
        <v>14</v>
      </c>
      <c r="F8" s="2">
        <v>46084.587500000001</v>
      </c>
      <c r="G8" s="2">
        <v>46084.594444444447</v>
      </c>
      <c r="H8" s="2">
        <v>46084.603472222225</v>
      </c>
      <c r="I8" s="2">
        <v>46084.881944444445</v>
      </c>
      <c r="J8" t="s">
        <v>20</v>
      </c>
      <c r="K8" s="3">
        <f>(G8-F8)*1440</f>
        <v>10.000000001164153</v>
      </c>
      <c r="L8" s="3">
        <f>(H8-G8)*1440</f>
        <v>13.000000000465661</v>
      </c>
      <c r="M8" s="3">
        <f>(I8-H8)*1440</f>
        <v>400.99999999743886</v>
      </c>
      <c r="N8" s="3">
        <f>(I8-F8)*1440</f>
        <v>423.99999999906868</v>
      </c>
      <c r="O8" t="str">
        <f>IF(OR(K8&lt;0,L8&lt;0,M8&lt;0,N8&lt;0),"Check","OK")</f>
        <v>OK</v>
      </c>
    </row>
    <row r="9" spans="1:15" x14ac:dyDescent="0.25">
      <c r="A9" t="s">
        <v>165</v>
      </c>
      <c r="B9" s="1" t="s">
        <v>38</v>
      </c>
      <c r="C9" t="s">
        <v>7</v>
      </c>
      <c r="D9" t="s">
        <v>39</v>
      </c>
      <c r="E9" t="s">
        <v>13</v>
      </c>
      <c r="F9" s="2">
        <v>46082.844444444447</v>
      </c>
      <c r="G9" s="2">
        <v>46082.859027777777</v>
      </c>
      <c r="H9" s="2">
        <v>46082.879166666666</v>
      </c>
      <c r="I9" s="2">
        <v>46083.136111111111</v>
      </c>
      <c r="J9" t="s">
        <v>22</v>
      </c>
      <c r="K9" s="3">
        <f>(G9-F9)*1440</f>
        <v>20.999999995110556</v>
      </c>
      <c r="L9" s="3">
        <f>(H9-G9)*1440</f>
        <v>29.000000000232831</v>
      </c>
      <c r="M9" s="3">
        <f>(I9-H9)*1440</f>
        <v>370.00000000116415</v>
      </c>
      <c r="N9" s="3">
        <f>(I9-F9)*1440</f>
        <v>419.99999999650754</v>
      </c>
      <c r="O9" t="str">
        <f>IF(OR(K9&lt;0,L9&lt;0,M9&lt;0,N9&lt;0),"Check","OK")</f>
        <v>OK</v>
      </c>
    </row>
    <row r="10" spans="1:15" x14ac:dyDescent="0.25">
      <c r="A10" t="s">
        <v>92</v>
      </c>
      <c r="B10" s="1" t="s">
        <v>38</v>
      </c>
      <c r="C10" t="s">
        <v>7</v>
      </c>
      <c r="D10" t="s">
        <v>39</v>
      </c>
      <c r="E10" t="s">
        <v>13</v>
      </c>
      <c r="F10" s="2">
        <v>46083.660416666666</v>
      </c>
      <c r="G10" s="2">
        <v>46083.677083333336</v>
      </c>
      <c r="H10" s="2">
        <v>46083.680555555555</v>
      </c>
      <c r="I10" s="2">
        <v>46083.950694444444</v>
      </c>
      <c r="J10" t="s">
        <v>20</v>
      </c>
      <c r="K10" s="3">
        <f>(G10-F10)*1440</f>
        <v>24.000000004889444</v>
      </c>
      <c r="L10" s="3">
        <f>(H10-G10)*1440</f>
        <v>4.9999999953433871</v>
      </c>
      <c r="M10" s="3">
        <f>(I10-H10)*1440</f>
        <v>389.00000000023283</v>
      </c>
      <c r="N10" s="3">
        <f>(I10-F10)*1440</f>
        <v>418.00000000046566</v>
      </c>
      <c r="O10" t="str">
        <f>IF(OR(K10&lt;0,L10&lt;0,M10&lt;0,N10&lt;0),"Check","OK")</f>
        <v>OK</v>
      </c>
    </row>
    <row r="11" spans="1:15" x14ac:dyDescent="0.25">
      <c r="A11" t="s">
        <v>216</v>
      </c>
      <c r="B11" s="1" t="s">
        <v>38</v>
      </c>
      <c r="C11" t="s">
        <v>7</v>
      </c>
      <c r="D11" t="s">
        <v>39</v>
      </c>
      <c r="E11" t="s">
        <v>13</v>
      </c>
      <c r="F11" s="2">
        <v>46084.881944444445</v>
      </c>
      <c r="G11" s="2">
        <v>46084.894444444442</v>
      </c>
      <c r="H11" s="2">
        <v>46084.904166666667</v>
      </c>
      <c r="I11" s="2">
        <v>46085.170833333337</v>
      </c>
      <c r="J11" t="s">
        <v>22</v>
      </c>
      <c r="K11" s="3">
        <f>(G11-F11)*1440</f>
        <v>17.999999995809048</v>
      </c>
      <c r="L11" s="3">
        <f>(H11-G11)*1440</f>
        <v>14.00000000372529</v>
      </c>
      <c r="M11" s="3">
        <f>(I11-H11)*1440</f>
        <v>384.00000000488944</v>
      </c>
      <c r="N11" s="3">
        <f>(I11-F11)*1440</f>
        <v>416.00000000442378</v>
      </c>
      <c r="O11" t="str">
        <f>IF(OR(K11&lt;0,L11&lt;0,M11&lt;0,N11&lt;0),"Check","OK")</f>
        <v>OK</v>
      </c>
    </row>
    <row r="12" spans="1:15" x14ac:dyDescent="0.25">
      <c r="A12" t="s">
        <v>172</v>
      </c>
      <c r="B12" s="1" t="s">
        <v>38</v>
      </c>
      <c r="C12" t="s">
        <v>7</v>
      </c>
      <c r="D12" t="s">
        <v>39</v>
      </c>
      <c r="E12" t="s">
        <v>14</v>
      </c>
      <c r="F12" s="2">
        <v>46085.484027777777</v>
      </c>
      <c r="G12" s="2">
        <v>46085.504861111112</v>
      </c>
      <c r="H12" s="2">
        <v>46085.510416666672</v>
      </c>
      <c r="I12" s="2">
        <v>46085.765972222231</v>
      </c>
      <c r="J12" t="s">
        <v>20</v>
      </c>
      <c r="K12" s="3">
        <f>(G12-F12)*1440</f>
        <v>30.00000000349246</v>
      </c>
      <c r="L12" s="3">
        <f>(H12-G12)*1440</f>
        <v>8.0000000051222742</v>
      </c>
      <c r="M12" s="3">
        <f>(I12-H12)*1440</f>
        <v>368.00000000512227</v>
      </c>
      <c r="N12" s="3">
        <f>(I12-F12)*1440</f>
        <v>406.00000001373701</v>
      </c>
      <c r="O12" t="str">
        <f>IF(OR(K12&lt;0,L12&lt;0,M12&lt;0,N12&lt;0),"Check","OK")</f>
        <v>OK</v>
      </c>
    </row>
    <row r="13" spans="1:15" x14ac:dyDescent="0.25">
      <c r="A13" t="s">
        <v>43</v>
      </c>
      <c r="B13" s="1" t="s">
        <v>38</v>
      </c>
      <c r="C13" t="s">
        <v>7</v>
      </c>
      <c r="D13" t="s">
        <v>39</v>
      </c>
      <c r="E13" t="s">
        <v>13</v>
      </c>
      <c r="F13" s="2">
        <v>46086.615277777775</v>
      </c>
      <c r="G13" s="2">
        <v>46086.621527777774</v>
      </c>
      <c r="H13" s="2">
        <v>46086.640972222216</v>
      </c>
      <c r="I13" s="2">
        <v>46086.897222222215</v>
      </c>
      <c r="J13" t="s">
        <v>20</v>
      </c>
      <c r="K13" s="3">
        <f>(G13-F13)*1440</f>
        <v>8.9999999979045242</v>
      </c>
      <c r="L13" s="3">
        <f>(H13-G13)*1440</f>
        <v>27.999999996973202</v>
      </c>
      <c r="M13" s="3">
        <f>(I13-H13)*1440</f>
        <v>368.99999999790452</v>
      </c>
      <c r="N13" s="3">
        <f>(I13-F13)*1440</f>
        <v>405.99999999278225</v>
      </c>
      <c r="O13" t="str">
        <f>IF(OR(K13&lt;0,L13&lt;0,M13&lt;0,N13&lt;0),"Check","OK")</f>
        <v>OK</v>
      </c>
    </row>
    <row r="14" spans="1:15" x14ac:dyDescent="0.25">
      <c r="A14" t="s">
        <v>145</v>
      </c>
      <c r="B14" s="1" t="s">
        <v>38</v>
      </c>
      <c r="C14" t="s">
        <v>7</v>
      </c>
      <c r="D14" t="s">
        <v>39</v>
      </c>
      <c r="E14" t="s">
        <v>13</v>
      </c>
      <c r="F14" s="2">
        <v>46082.470138888886</v>
      </c>
      <c r="G14" s="2">
        <v>46082.473611111105</v>
      </c>
      <c r="H14" s="2">
        <v>46082.485416666663</v>
      </c>
      <c r="I14" s="2">
        <v>46082.748611111107</v>
      </c>
      <c r="J14" t="s">
        <v>20</v>
      </c>
      <c r="K14" s="3">
        <f>(G14-F14)*1440</f>
        <v>4.9999999953433871</v>
      </c>
      <c r="L14" s="3">
        <f>(H14-G14)*1440</f>
        <v>17.000000003026798</v>
      </c>
      <c r="M14" s="3">
        <f>(I14-H14)*1440</f>
        <v>378.99999999906868</v>
      </c>
      <c r="N14" s="3">
        <f>(I14-F14)*1440</f>
        <v>400.99999999743886</v>
      </c>
      <c r="O14" t="str">
        <f>IF(OR(K14&lt;0,L14&lt;0,M14&lt;0,N14&lt;0),"Check","OK")</f>
        <v>OK</v>
      </c>
    </row>
    <row r="15" spans="1:15" x14ac:dyDescent="0.25">
      <c r="A15" t="s">
        <v>152</v>
      </c>
      <c r="B15" s="1" t="s">
        <v>38</v>
      </c>
      <c r="C15" t="s">
        <v>7</v>
      </c>
      <c r="D15" t="s">
        <v>39</v>
      </c>
      <c r="E15" t="s">
        <v>14</v>
      </c>
      <c r="F15" s="2">
        <v>46087.504861111112</v>
      </c>
      <c r="G15" s="2">
        <v>46087.513194444444</v>
      </c>
      <c r="H15" s="2">
        <v>46087.522916666669</v>
      </c>
      <c r="I15" s="2">
        <v>46087.780555555561</v>
      </c>
      <c r="J15" t="s">
        <v>20</v>
      </c>
      <c r="K15" s="3">
        <f>(G15-F15)*1440</f>
        <v>11.999999997206032</v>
      </c>
      <c r="L15" s="3">
        <f>(H15-G15)*1440</f>
        <v>14.00000000372529</v>
      </c>
      <c r="M15" s="3">
        <f>(I15-H15)*1440</f>
        <v>371.00000000442378</v>
      </c>
      <c r="N15" s="3">
        <f>(I15-F15)*1440</f>
        <v>397.0000000053551</v>
      </c>
      <c r="O15" t="str">
        <f>IF(OR(K15&lt;0,L15&lt;0,M15&lt;0,N15&lt;0),"Check","OK")</f>
        <v>OK</v>
      </c>
    </row>
    <row r="16" spans="1:15" x14ac:dyDescent="0.25">
      <c r="A16" t="s">
        <v>48</v>
      </c>
      <c r="B16" s="1" t="s">
        <v>38</v>
      </c>
      <c r="C16" t="s">
        <v>7</v>
      </c>
      <c r="D16" t="s">
        <v>39</v>
      </c>
      <c r="E16" t="s">
        <v>14</v>
      </c>
      <c r="F16" s="2">
        <v>46086.63958333333</v>
      </c>
      <c r="G16" s="2">
        <v>46086.645138888889</v>
      </c>
      <c r="H16" s="2">
        <v>46086.657638888886</v>
      </c>
      <c r="I16" s="2">
        <v>46086.913888888885</v>
      </c>
      <c r="J16" t="s">
        <v>20</v>
      </c>
      <c r="K16" s="3">
        <f>(G16-F16)*1440</f>
        <v>8.0000000051222742</v>
      </c>
      <c r="L16" s="3">
        <f>(H16-G16)*1440</f>
        <v>17.999999995809048</v>
      </c>
      <c r="M16" s="3">
        <f>(I16-H16)*1440</f>
        <v>368.99999999790452</v>
      </c>
      <c r="N16" s="3">
        <f>(I16-F16)*1440</f>
        <v>394.99999999883585</v>
      </c>
      <c r="O16" t="str">
        <f>IF(OR(K16&lt;0,L16&lt;0,M16&lt;0,N16&lt;0),"Check","OK")</f>
        <v>OK</v>
      </c>
    </row>
    <row r="17" spans="1:15" x14ac:dyDescent="0.25">
      <c r="A17" t="s">
        <v>179</v>
      </c>
      <c r="B17" s="1" t="s">
        <v>38</v>
      </c>
      <c r="C17" t="s">
        <v>7</v>
      </c>
      <c r="D17" t="s">
        <v>39</v>
      </c>
      <c r="E17" t="s">
        <v>13</v>
      </c>
      <c r="F17" s="2">
        <v>46088.626388888886</v>
      </c>
      <c r="G17" s="2">
        <v>46088.640277777777</v>
      </c>
      <c r="H17" s="2">
        <v>46088.649305555555</v>
      </c>
      <c r="I17" s="2">
        <v>46088.900694444441</v>
      </c>
      <c r="J17" t="s">
        <v>20</v>
      </c>
      <c r="K17" s="3">
        <f>(G17-F17)*1440</f>
        <v>20.000000002328306</v>
      </c>
      <c r="L17" s="3">
        <f>(H17-G17)*1440</f>
        <v>13.000000000465661</v>
      </c>
      <c r="M17" s="3">
        <f>(I17-H17)*1440</f>
        <v>361.99999999604188</v>
      </c>
      <c r="N17" s="3">
        <f>(I17-F17)*1440</f>
        <v>394.99999999883585</v>
      </c>
      <c r="O17" t="str">
        <f>IF(OR(K17&lt;0,L17&lt;0,M17&lt;0,N17&lt;0),"Check","OK")</f>
        <v>OK</v>
      </c>
    </row>
    <row r="18" spans="1:15" x14ac:dyDescent="0.25">
      <c r="A18" t="s">
        <v>211</v>
      </c>
      <c r="B18" s="1" t="s">
        <v>38</v>
      </c>
      <c r="C18" t="s">
        <v>7</v>
      </c>
      <c r="D18" t="s">
        <v>39</v>
      </c>
      <c r="E18" t="s">
        <v>14</v>
      </c>
      <c r="F18" s="2">
        <v>46085.728472222225</v>
      </c>
      <c r="G18" s="2">
        <v>46085.734722222223</v>
      </c>
      <c r="H18" s="2">
        <v>46085.739583333336</v>
      </c>
      <c r="I18" s="2">
        <v>46085.997916666667</v>
      </c>
      <c r="J18" t="s">
        <v>21</v>
      </c>
      <c r="K18" s="3">
        <f>(G18-F18)*1440</f>
        <v>8.9999999979045242</v>
      </c>
      <c r="L18" s="3">
        <f>(H18-G18)*1440</f>
        <v>7.0000000018626451</v>
      </c>
      <c r="M18" s="3">
        <f>(I18-H18)*1440</f>
        <v>371.99999999720603</v>
      </c>
      <c r="N18" s="3">
        <f>(I18-F18)*1440</f>
        <v>387.9999999969732</v>
      </c>
      <c r="O18" t="str">
        <f>IF(OR(K18&lt;0,L18&lt;0,M18&lt;0,N18&lt;0),"Check","OK")</f>
        <v>OK</v>
      </c>
    </row>
    <row r="19" spans="1:15" x14ac:dyDescent="0.25">
      <c r="A19" t="s">
        <v>189</v>
      </c>
      <c r="B19" s="1" t="s">
        <v>38</v>
      </c>
      <c r="C19" t="s">
        <v>7</v>
      </c>
      <c r="D19" t="s">
        <v>39</v>
      </c>
      <c r="E19" t="s">
        <v>13</v>
      </c>
      <c r="F19" s="2">
        <v>46087.306944444441</v>
      </c>
      <c r="G19" s="2">
        <v>46087.327777777777</v>
      </c>
      <c r="H19" s="2">
        <v>46087.332638888889</v>
      </c>
      <c r="I19" s="2">
        <v>46087.572222222225</v>
      </c>
      <c r="J19" t="s">
        <v>22</v>
      </c>
      <c r="K19" s="3">
        <f>(G19-F19)*1440</f>
        <v>30.00000000349246</v>
      </c>
      <c r="L19" s="3">
        <f>(H19-G19)*1440</f>
        <v>7.0000000018626451</v>
      </c>
      <c r="M19" s="3">
        <f>(I19-H19)*1440</f>
        <v>345.00000000349246</v>
      </c>
      <c r="N19" s="3">
        <f>(I19-F19)*1440</f>
        <v>382.00000000884756</v>
      </c>
      <c r="O19" t="str">
        <f>IF(OR(K19&lt;0,L19&lt;0,M19&lt;0,N19&lt;0),"Check","OK")</f>
        <v>OK</v>
      </c>
    </row>
    <row r="20" spans="1:15" x14ac:dyDescent="0.25">
      <c r="A20" t="s">
        <v>205</v>
      </c>
      <c r="B20" s="1" t="s">
        <v>38</v>
      </c>
      <c r="C20" t="s">
        <v>7</v>
      </c>
      <c r="D20" t="s">
        <v>39</v>
      </c>
      <c r="E20" t="s">
        <v>13</v>
      </c>
      <c r="F20" s="2">
        <v>46084.804861111108</v>
      </c>
      <c r="G20" s="2">
        <v>46084.822222222218</v>
      </c>
      <c r="H20" s="2">
        <v>46084.836805555547</v>
      </c>
      <c r="I20" s="2">
        <v>46085.063194444439</v>
      </c>
      <c r="J20" t="s">
        <v>22</v>
      </c>
      <c r="K20" s="3">
        <f>(G20-F20)*1440</f>
        <v>24.999999997671694</v>
      </c>
      <c r="L20" s="3">
        <f>(H20-G20)*1440</f>
        <v>20.999999995110556</v>
      </c>
      <c r="M20" s="3">
        <f>(I20-H20)*1440</f>
        <v>326.00000000442378</v>
      </c>
      <c r="N20" s="3">
        <f>(I20-F20)*1440</f>
        <v>371.99999999720603</v>
      </c>
      <c r="O20" t="str">
        <f>IF(OR(K20&lt;0,L20&lt;0,M20&lt;0,N20&lt;0),"Check","OK")</f>
        <v>OK</v>
      </c>
    </row>
    <row r="21" spans="1:15" x14ac:dyDescent="0.25">
      <c r="A21" t="s">
        <v>185</v>
      </c>
      <c r="B21" s="1" t="s">
        <v>38</v>
      </c>
      <c r="C21" t="s">
        <v>7</v>
      </c>
      <c r="D21" t="s">
        <v>39</v>
      </c>
      <c r="E21" t="s">
        <v>14</v>
      </c>
      <c r="F21" s="2">
        <v>46084.32708333333</v>
      </c>
      <c r="G21" s="2">
        <v>46084.343055555553</v>
      </c>
      <c r="H21" s="2">
        <v>46084.356249999997</v>
      </c>
      <c r="I21" s="2">
        <v>46084.582638888889</v>
      </c>
      <c r="J21" t="s">
        <v>22</v>
      </c>
      <c r="K21" s="3">
        <f>(G21-F21)*1440</f>
        <v>23.000000001629815</v>
      </c>
      <c r="L21" s="3">
        <f>(H21-G21)*1440</f>
        <v>18.999999999068677</v>
      </c>
      <c r="M21" s="3">
        <f>(I21-H21)*1440</f>
        <v>326.00000000442378</v>
      </c>
      <c r="N21" s="3">
        <f>(I21-F21)*1440</f>
        <v>368.00000000512227</v>
      </c>
      <c r="O21" t="str">
        <f>IF(OR(K21&lt;0,L21&lt;0,M21&lt;0,N21&lt;0),"Check","OK")</f>
        <v>OK</v>
      </c>
    </row>
    <row r="22" spans="1:15" x14ac:dyDescent="0.25">
      <c r="A22" t="s">
        <v>159</v>
      </c>
      <c r="B22" s="1" t="s">
        <v>38</v>
      </c>
      <c r="C22" t="s">
        <v>7</v>
      </c>
      <c r="D22" t="s">
        <v>39</v>
      </c>
      <c r="E22" t="s">
        <v>14</v>
      </c>
      <c r="F22" s="2">
        <v>46083.77847222222</v>
      </c>
      <c r="G22" s="2">
        <v>46083.78402777778</v>
      </c>
      <c r="H22" s="2">
        <v>46083.793055555558</v>
      </c>
      <c r="I22" s="2">
        <v>46084.032638888893</v>
      </c>
      <c r="J22" t="s">
        <v>22</v>
      </c>
      <c r="K22" s="3">
        <f>(G22-F22)*1440</f>
        <v>8.0000000051222742</v>
      </c>
      <c r="L22" s="3">
        <f>(H22-G22)*1440</f>
        <v>13.000000000465661</v>
      </c>
      <c r="M22" s="3">
        <f>(I22-H22)*1440</f>
        <v>345.00000000349246</v>
      </c>
      <c r="N22" s="3">
        <f>(I22-F22)*1440</f>
        <v>366.0000000090804</v>
      </c>
      <c r="O22" t="str">
        <f>IF(OR(K22&lt;0,L22&lt;0,M22&lt;0,N22&lt;0),"Check","OK")</f>
        <v>OK</v>
      </c>
    </row>
    <row r="23" spans="1:15" x14ac:dyDescent="0.25">
      <c r="A23" t="s">
        <v>49</v>
      </c>
      <c r="B23" s="1" t="s">
        <v>38</v>
      </c>
      <c r="C23" t="s">
        <v>7</v>
      </c>
      <c r="D23" t="s">
        <v>39</v>
      </c>
      <c r="E23" t="s">
        <v>13</v>
      </c>
      <c r="F23" s="2">
        <v>46088.712500000001</v>
      </c>
      <c r="G23" s="2">
        <v>46088.731250000004</v>
      </c>
      <c r="H23" s="2">
        <v>46088.746527777781</v>
      </c>
      <c r="I23" s="2">
        <v>46088.966666666667</v>
      </c>
      <c r="J23" t="s">
        <v>21</v>
      </c>
      <c r="K23" s="3">
        <f>(G23-F23)*1440</f>
        <v>27.000000004190952</v>
      </c>
      <c r="L23" s="3">
        <f>(H23-G23)*1440</f>
        <v>21.999999998370185</v>
      </c>
      <c r="M23" s="3">
        <f>(I23-H23)*1440</f>
        <v>316.99999999604188</v>
      </c>
      <c r="N23" s="3">
        <f>(I23-F23)*1440</f>
        <v>365.99999999860302</v>
      </c>
      <c r="O23" t="str">
        <f>IF(OR(K23&lt;0,L23&lt;0,M23&lt;0,N23&lt;0),"Check","OK")</f>
        <v>OK</v>
      </c>
    </row>
    <row r="24" spans="1:15" x14ac:dyDescent="0.25">
      <c r="A24" t="s">
        <v>97</v>
      </c>
      <c r="B24" s="1" t="s">
        <v>38</v>
      </c>
      <c r="C24" t="s">
        <v>7</v>
      </c>
      <c r="D24" t="s">
        <v>39</v>
      </c>
      <c r="E24" t="s">
        <v>14</v>
      </c>
      <c r="F24" s="2">
        <v>46086.475694444445</v>
      </c>
      <c r="G24" s="2">
        <v>46086.484027777777</v>
      </c>
      <c r="H24" s="2">
        <v>46086.504166666666</v>
      </c>
      <c r="I24" s="2">
        <v>46086.729166666664</v>
      </c>
      <c r="J24" t="s">
        <v>20</v>
      </c>
      <c r="K24" s="3">
        <f>(G24-F24)*1440</f>
        <v>11.999999997206032</v>
      </c>
      <c r="L24" s="3">
        <f>(H24-G24)*1440</f>
        <v>29.000000000232831</v>
      </c>
      <c r="M24" s="3">
        <f>(I24-H24)*1440</f>
        <v>323.99999999790452</v>
      </c>
      <c r="N24" s="3">
        <f>(I24-F24)*1440</f>
        <v>364.99999999534339</v>
      </c>
      <c r="O24" t="str">
        <f>IF(OR(K24&lt;0,L24&lt;0,M24&lt;0,N24&lt;0),"Check","OK")</f>
        <v>OK</v>
      </c>
    </row>
    <row r="25" spans="1:15" x14ac:dyDescent="0.25">
      <c r="A25" t="s">
        <v>113</v>
      </c>
      <c r="B25" s="1" t="s">
        <v>38</v>
      </c>
      <c r="C25" t="s">
        <v>7</v>
      </c>
      <c r="D25" t="s">
        <v>39</v>
      </c>
      <c r="E25" t="s">
        <v>13</v>
      </c>
      <c r="F25" s="2">
        <v>46085.7</v>
      </c>
      <c r="G25" s="2">
        <v>46085.718055555553</v>
      </c>
      <c r="H25" s="2">
        <v>46085.723611111112</v>
      </c>
      <c r="I25" s="2">
        <v>46085.949305555558</v>
      </c>
      <c r="J25" t="s">
        <v>20</v>
      </c>
      <c r="K25" s="3">
        <f>(G25-F25)*1440</f>
        <v>26.000000000931323</v>
      </c>
      <c r="L25" s="3">
        <f>(H25-G25)*1440</f>
        <v>8.0000000051222742</v>
      </c>
      <c r="M25" s="3">
        <f>(I25-H25)*1440</f>
        <v>325.00000000116415</v>
      </c>
      <c r="N25" s="3">
        <f>(I25-F25)*1440</f>
        <v>359.00000000721775</v>
      </c>
      <c r="O25" t="str">
        <f>IF(OR(K25&lt;0,L25&lt;0,M25&lt;0,N25&lt;0),"Check","OK")</f>
        <v>OK</v>
      </c>
    </row>
    <row r="26" spans="1:15" x14ac:dyDescent="0.25">
      <c r="A26" t="s">
        <v>184</v>
      </c>
      <c r="B26" s="1" t="s">
        <v>38</v>
      </c>
      <c r="C26" t="s">
        <v>7</v>
      </c>
      <c r="D26" t="s">
        <v>39</v>
      </c>
      <c r="E26" t="s">
        <v>14</v>
      </c>
      <c r="F26" s="2">
        <v>46086.770138888889</v>
      </c>
      <c r="G26" s="2">
        <v>46086.774305555555</v>
      </c>
      <c r="H26" s="2">
        <v>46086.788194444445</v>
      </c>
      <c r="I26" s="2">
        <v>46087.010416666664</v>
      </c>
      <c r="J26" t="s">
        <v>22</v>
      </c>
      <c r="K26" s="3">
        <f>(G26-F26)*1440</f>
        <v>5.9999999986030161</v>
      </c>
      <c r="L26" s="3">
        <f>(H26-G26)*1440</f>
        <v>20.000000002328306</v>
      </c>
      <c r="M26" s="3">
        <f>(I26-H26)*1440</f>
        <v>319.99999999534339</v>
      </c>
      <c r="N26" s="3">
        <f>(I26-F26)*1440</f>
        <v>345.99999999627471</v>
      </c>
      <c r="O26" t="str">
        <f>IF(OR(K26&lt;0,L26&lt;0,M26&lt;0,N26&lt;0),"Check","OK")</f>
        <v>OK</v>
      </c>
    </row>
    <row r="27" spans="1:15" x14ac:dyDescent="0.25">
      <c r="A27" t="s">
        <v>133</v>
      </c>
      <c r="B27" s="1" t="s">
        <v>38</v>
      </c>
      <c r="C27" t="s">
        <v>7</v>
      </c>
      <c r="D27" t="s">
        <v>39</v>
      </c>
      <c r="E27" t="s">
        <v>13</v>
      </c>
      <c r="F27" s="2">
        <v>46082.895833333336</v>
      </c>
      <c r="G27" s="2">
        <v>46082.913194444445</v>
      </c>
      <c r="H27" s="2">
        <v>46082.917361111111</v>
      </c>
      <c r="I27" s="2">
        <v>46083.12777777778</v>
      </c>
      <c r="J27" t="s">
        <v>22</v>
      </c>
      <c r="K27" s="3">
        <f>(G27-F27)*1440</f>
        <v>24.999999997671694</v>
      </c>
      <c r="L27" s="3">
        <f>(H27-G27)*1440</f>
        <v>5.9999999986030161</v>
      </c>
      <c r="M27" s="3">
        <f>(I27-H27)*1440</f>
        <v>303.00000000279397</v>
      </c>
      <c r="N27" s="3">
        <f>(I27-F27)*1440</f>
        <v>333.99999999906868</v>
      </c>
      <c r="O27" t="str">
        <f>IF(OR(K27&lt;0,L27&lt;0,M27&lt;0,N27&lt;0),"Check","OK")</f>
        <v>OK</v>
      </c>
    </row>
    <row r="28" spans="1:15" x14ac:dyDescent="0.25">
      <c r="A28" t="s">
        <v>232</v>
      </c>
      <c r="B28" s="1" t="s">
        <v>38</v>
      </c>
      <c r="C28" t="s">
        <v>7</v>
      </c>
      <c r="D28" t="s">
        <v>39</v>
      </c>
      <c r="E28" t="s">
        <v>14</v>
      </c>
      <c r="F28" s="2">
        <v>46085.461111111108</v>
      </c>
      <c r="G28" s="2">
        <v>46085.479861111111</v>
      </c>
      <c r="H28" s="2">
        <v>46085.486805555556</v>
      </c>
      <c r="I28" s="2">
        <v>46085.682638888888</v>
      </c>
      <c r="J28" t="s">
        <v>20</v>
      </c>
      <c r="K28" s="3">
        <f>(G28-F28)*1440</f>
        <v>27.000000004190952</v>
      </c>
      <c r="L28" s="3">
        <f>(H28-G28)*1440</f>
        <v>10.000000001164153</v>
      </c>
      <c r="M28" s="3">
        <f>(I28-H28)*1440</f>
        <v>281.99999999720603</v>
      </c>
      <c r="N28" s="3">
        <f>(I28-F28)*1440</f>
        <v>319.00000000256114</v>
      </c>
      <c r="O28" t="str">
        <f>IF(OR(K28&lt;0,L28&lt;0,M28&lt;0,N28&lt;0),"Check","OK")</f>
        <v>OK</v>
      </c>
    </row>
    <row r="29" spans="1:15" x14ac:dyDescent="0.25">
      <c r="A29" t="s">
        <v>80</v>
      </c>
      <c r="B29" s="1" t="s">
        <v>38</v>
      </c>
      <c r="C29" t="s">
        <v>7</v>
      </c>
      <c r="D29" t="s">
        <v>39</v>
      </c>
      <c r="E29" t="s">
        <v>14</v>
      </c>
      <c r="F29" s="2">
        <v>46085.265972222223</v>
      </c>
      <c r="G29" s="2">
        <v>46085.276388888888</v>
      </c>
      <c r="H29" s="2">
        <v>46085.293749999997</v>
      </c>
      <c r="I29" s="2">
        <v>46085.486111111109</v>
      </c>
      <c r="J29" t="s">
        <v>22</v>
      </c>
      <c r="K29" s="3">
        <f>(G29-F29)*1440</f>
        <v>14.99999999650754</v>
      </c>
      <c r="L29" s="3">
        <f>(H29-G29)*1440</f>
        <v>24.999999997671694</v>
      </c>
      <c r="M29" s="3">
        <f>(I29-H29)*1440</f>
        <v>277.00000000186265</v>
      </c>
      <c r="N29" s="3">
        <f>(I29-F29)*1440</f>
        <v>316.99999999604188</v>
      </c>
      <c r="O29" t="str">
        <f>IF(OR(K29&lt;0,L29&lt;0,M29&lt;0,N29&lt;0),"Check","OK")</f>
        <v>OK</v>
      </c>
    </row>
    <row r="30" spans="1:15" x14ac:dyDescent="0.25">
      <c r="A30" t="s">
        <v>244</v>
      </c>
      <c r="B30" s="1" t="s">
        <v>38</v>
      </c>
      <c r="C30" t="s">
        <v>7</v>
      </c>
      <c r="D30" t="s">
        <v>39</v>
      </c>
      <c r="E30" t="s">
        <v>13</v>
      </c>
      <c r="F30" s="2">
        <v>46085.488194444442</v>
      </c>
      <c r="G30" s="2">
        <v>46085.509027777778</v>
      </c>
      <c r="H30" s="2">
        <v>46085.515972222223</v>
      </c>
      <c r="I30" s="2">
        <v>46085.700694444444</v>
      </c>
      <c r="J30" t="s">
        <v>20</v>
      </c>
      <c r="K30" s="3">
        <f>(G30-F30)*1440</f>
        <v>30.00000000349246</v>
      </c>
      <c r="L30" s="3">
        <f>(H30-G30)*1440</f>
        <v>10.000000001164153</v>
      </c>
      <c r="M30" s="3">
        <f>(I30-H30)*1440</f>
        <v>265.99999999743886</v>
      </c>
      <c r="N30" s="3">
        <f>(I30-F30)*1440</f>
        <v>306.00000000209548</v>
      </c>
      <c r="O30" t="str">
        <f>IF(OR(K30&lt;0,L30&lt;0,M30&lt;0,N30&lt;0),"Check","OK")</f>
        <v>OK</v>
      </c>
    </row>
    <row r="31" spans="1:15" x14ac:dyDescent="0.25">
      <c r="A31" t="s">
        <v>147</v>
      </c>
      <c r="B31" s="1" t="s">
        <v>38</v>
      </c>
      <c r="C31" t="s">
        <v>7</v>
      </c>
      <c r="D31" t="s">
        <v>39</v>
      </c>
      <c r="E31" t="s">
        <v>14</v>
      </c>
      <c r="F31" s="2">
        <v>46083.361805555556</v>
      </c>
      <c r="G31" s="2">
        <v>46083.373611111114</v>
      </c>
      <c r="H31" s="2">
        <v>46083.388888888891</v>
      </c>
      <c r="I31" s="2">
        <v>46083.573611111111</v>
      </c>
      <c r="J31" t="s">
        <v>22</v>
      </c>
      <c r="K31" s="3">
        <f>(G31-F31)*1440</f>
        <v>17.000000003026798</v>
      </c>
      <c r="L31" s="3">
        <f>(H31-G31)*1440</f>
        <v>21.999999998370185</v>
      </c>
      <c r="M31" s="3">
        <f>(I31-H31)*1440</f>
        <v>265.99999999743886</v>
      </c>
      <c r="N31" s="3">
        <f>(I31-F31)*1440</f>
        <v>304.99999999883585</v>
      </c>
      <c r="O31" t="str">
        <f>IF(OR(K31&lt;0,L31&lt;0,M31&lt;0,N31&lt;0),"Check","OK")</f>
        <v>OK</v>
      </c>
    </row>
    <row r="32" spans="1:15" x14ac:dyDescent="0.25">
      <c r="A32" t="s">
        <v>37</v>
      </c>
      <c r="B32" s="1" t="s">
        <v>38</v>
      </c>
      <c r="C32" t="s">
        <v>7</v>
      </c>
      <c r="D32" t="s">
        <v>39</v>
      </c>
      <c r="E32" t="s">
        <v>14</v>
      </c>
      <c r="F32" s="2">
        <v>46084.941666666666</v>
      </c>
      <c r="G32" s="2">
        <v>46084.961805555555</v>
      </c>
      <c r="H32" s="2">
        <v>46084.965277777774</v>
      </c>
      <c r="I32" s="2">
        <v>46085.152083333327</v>
      </c>
      <c r="J32" t="s">
        <v>22</v>
      </c>
      <c r="K32" s="3">
        <f>(G32-F32)*1440</f>
        <v>29.000000000232831</v>
      </c>
      <c r="L32" s="3">
        <f>(H32-G32)*1440</f>
        <v>4.9999999953433871</v>
      </c>
      <c r="M32" s="3">
        <f>(I32-H32)*1440</f>
        <v>268.99999999674037</v>
      </c>
      <c r="N32" s="3">
        <f>(I32-F32)*1440</f>
        <v>302.99999999231659</v>
      </c>
      <c r="O32" t="str">
        <f>IF(OR(K32&lt;0,L32&lt;0,M32&lt;0,N32&lt;0),"Check","OK")</f>
        <v>OK</v>
      </c>
    </row>
    <row r="33" spans="1:15" x14ac:dyDescent="0.25">
      <c r="A33" t="s">
        <v>74</v>
      </c>
      <c r="B33" s="1" t="s">
        <v>38</v>
      </c>
      <c r="C33" t="s">
        <v>7</v>
      </c>
      <c r="D33" t="s">
        <v>39</v>
      </c>
      <c r="E33" t="s">
        <v>14</v>
      </c>
      <c r="F33" s="2">
        <v>46088.529861111114</v>
      </c>
      <c r="G33" s="2">
        <v>46088.540277777778</v>
      </c>
      <c r="H33" s="2">
        <v>46088.553472222222</v>
      </c>
      <c r="I33" s="2">
        <v>46088.738194444442</v>
      </c>
      <c r="J33" t="s">
        <v>20</v>
      </c>
      <c r="K33" s="3">
        <f>(G33-F33)*1440</f>
        <v>14.99999999650754</v>
      </c>
      <c r="L33" s="3">
        <f>(H33-G33)*1440</f>
        <v>18.999999999068677</v>
      </c>
      <c r="M33" s="3">
        <f>(I33-H33)*1440</f>
        <v>265.99999999743886</v>
      </c>
      <c r="N33" s="3">
        <f>(I33-F33)*1440</f>
        <v>299.99999999301508</v>
      </c>
      <c r="O33" t="str">
        <f>IF(OR(K33&lt;0,L33&lt;0,M33&lt;0,N33&lt;0),"Check","OK")</f>
        <v>OK</v>
      </c>
    </row>
    <row r="34" spans="1:15" x14ac:dyDescent="0.25">
      <c r="A34" t="s">
        <v>194</v>
      </c>
      <c r="B34" s="1" t="s">
        <v>38</v>
      </c>
      <c r="C34" t="s">
        <v>7</v>
      </c>
      <c r="D34" t="s">
        <v>39</v>
      </c>
      <c r="E34" t="s">
        <v>13</v>
      </c>
      <c r="F34" s="2">
        <v>46082.568055555559</v>
      </c>
      <c r="G34" s="2">
        <v>46082.584722222229</v>
      </c>
      <c r="H34" s="2">
        <v>46082.594444444454</v>
      </c>
      <c r="I34" s="2">
        <v>46082.775000000009</v>
      </c>
      <c r="J34" t="s">
        <v>20</v>
      </c>
      <c r="K34" s="3">
        <f>(G34-F34)*1440</f>
        <v>24.000000004889444</v>
      </c>
      <c r="L34" s="3">
        <f>(H34-G34)*1440</f>
        <v>14.00000000372529</v>
      </c>
      <c r="M34" s="3">
        <f>(I34-H34)*1440</f>
        <v>259.99999999883585</v>
      </c>
      <c r="N34" s="3">
        <f>(I34-F34)*1440</f>
        <v>298.00000000745058</v>
      </c>
      <c r="O34" t="str">
        <f>IF(OR(K34&lt;0,L34&lt;0,M34&lt;0,N34&lt;0),"Check","OK")</f>
        <v>OK</v>
      </c>
    </row>
    <row r="35" spans="1:15" x14ac:dyDescent="0.25">
      <c r="A35" t="s">
        <v>50</v>
      </c>
      <c r="B35" s="1" t="s">
        <v>38</v>
      </c>
      <c r="C35" t="s">
        <v>7</v>
      </c>
      <c r="D35" t="s">
        <v>39</v>
      </c>
      <c r="E35" t="s">
        <v>13</v>
      </c>
      <c r="F35" s="2">
        <v>46088.275694444441</v>
      </c>
      <c r="G35" s="2">
        <v>46088.288888888885</v>
      </c>
      <c r="H35" s="2">
        <v>46088.299305555549</v>
      </c>
      <c r="I35" s="2">
        <v>46088.482638888883</v>
      </c>
      <c r="J35" t="s">
        <v>22</v>
      </c>
      <c r="K35" s="3">
        <f>(G35-F35)*1440</f>
        <v>18.999999999068677</v>
      </c>
      <c r="L35" s="3">
        <f>(H35-G35)*1440</f>
        <v>14.99999999650754</v>
      </c>
      <c r="M35" s="3">
        <f>(I35-H35)*1440</f>
        <v>264.00000000139698</v>
      </c>
      <c r="N35" s="3">
        <f>(I35-F35)*1440</f>
        <v>297.9999999969732</v>
      </c>
      <c r="O35" t="str">
        <f>IF(OR(K35&lt;0,L35&lt;0,M35&lt;0,N35&lt;0),"Check","OK")</f>
        <v>OK</v>
      </c>
    </row>
    <row r="36" spans="1:15" x14ac:dyDescent="0.25">
      <c r="A36" t="s">
        <v>57</v>
      </c>
      <c r="B36" s="1" t="s">
        <v>38</v>
      </c>
      <c r="C36" t="s">
        <v>7</v>
      </c>
      <c r="D36" t="s">
        <v>39</v>
      </c>
      <c r="E36" t="s">
        <v>14</v>
      </c>
      <c r="F36" s="2">
        <v>46084.25</v>
      </c>
      <c r="G36" s="2">
        <v>46084.259027777778</v>
      </c>
      <c r="H36" s="2">
        <v>46084.273611111108</v>
      </c>
      <c r="I36" s="2">
        <v>46084.455555555549</v>
      </c>
      <c r="J36" t="s">
        <v>22</v>
      </c>
      <c r="K36" s="3">
        <f>(G36-F36)*1440</f>
        <v>13.000000000465661</v>
      </c>
      <c r="L36" s="3">
        <f>(H36-G36)*1440</f>
        <v>20.999999995110556</v>
      </c>
      <c r="M36" s="3">
        <f>(I36-H36)*1440</f>
        <v>261.99999999487773</v>
      </c>
      <c r="N36" s="3">
        <f>(I36-F36)*1440</f>
        <v>295.99999999045394</v>
      </c>
      <c r="O36" t="str">
        <f>IF(OR(K36&lt;0,L36&lt;0,M36&lt;0,N36&lt;0),"Check","OK")</f>
        <v>OK</v>
      </c>
    </row>
    <row r="37" spans="1:15" x14ac:dyDescent="0.25">
      <c r="A37" t="s">
        <v>208</v>
      </c>
      <c r="B37" s="1" t="s">
        <v>35</v>
      </c>
      <c r="C37" t="s">
        <v>8</v>
      </c>
      <c r="D37" t="s">
        <v>36</v>
      </c>
      <c r="E37" t="s">
        <v>17</v>
      </c>
      <c r="F37" s="2">
        <v>46088.957638888889</v>
      </c>
      <c r="G37" s="2">
        <v>46088.976388888892</v>
      </c>
      <c r="H37" s="2">
        <v>46088.994444444448</v>
      </c>
      <c r="I37" s="2">
        <v>46089.15902777778</v>
      </c>
      <c r="J37" t="s">
        <v>22</v>
      </c>
      <c r="K37" s="3">
        <f>(G37-F37)*1440</f>
        <v>27.000000004190952</v>
      </c>
      <c r="L37" s="3">
        <f>(H37-G37)*1440</f>
        <v>26.000000000931323</v>
      </c>
      <c r="M37" s="3">
        <f>(I37-H37)*1440</f>
        <v>236.99999999720603</v>
      </c>
      <c r="N37" s="3">
        <f>(I37-F37)*1440</f>
        <v>290.00000000232831</v>
      </c>
      <c r="O37" t="str">
        <f>IF(OR(K37&lt;0,L37&lt;0,M37&lt;0,N37&lt;0),"Check","OK")</f>
        <v>OK</v>
      </c>
    </row>
    <row r="38" spans="1:15" x14ac:dyDescent="0.25">
      <c r="A38" t="s">
        <v>192</v>
      </c>
      <c r="B38" s="1" t="s">
        <v>38</v>
      </c>
      <c r="C38" t="s">
        <v>7</v>
      </c>
      <c r="D38" t="s">
        <v>39</v>
      </c>
      <c r="E38" t="s">
        <v>14</v>
      </c>
      <c r="F38" s="2">
        <v>46087.620833333334</v>
      </c>
      <c r="G38" s="2">
        <v>46087.640277777777</v>
      </c>
      <c r="H38" s="2">
        <v>46087.652083333334</v>
      </c>
      <c r="I38" s="2">
        <v>46087.820833333331</v>
      </c>
      <c r="J38" t="s">
        <v>20</v>
      </c>
      <c r="K38" s="3">
        <f>(G38-F38)*1440</f>
        <v>27.999999996973202</v>
      </c>
      <c r="L38" s="3">
        <f>(H38-G38)*1440</f>
        <v>17.000000003026798</v>
      </c>
      <c r="M38" s="3">
        <f>(I38-H38)*1440</f>
        <v>242.99999999580905</v>
      </c>
      <c r="N38" s="3">
        <f>(I38-F38)*1440</f>
        <v>287.99999999580905</v>
      </c>
      <c r="O38" t="str">
        <f>IF(OR(K38&lt;0,L38&lt;0,M38&lt;0,N38&lt;0),"Check","OK")</f>
        <v>OK</v>
      </c>
    </row>
    <row r="39" spans="1:15" x14ac:dyDescent="0.25">
      <c r="A39" t="s">
        <v>51</v>
      </c>
      <c r="B39" s="1" t="s">
        <v>35</v>
      </c>
      <c r="C39" t="s">
        <v>8</v>
      </c>
      <c r="D39" t="s">
        <v>36</v>
      </c>
      <c r="E39" t="s">
        <v>15</v>
      </c>
      <c r="F39" s="2">
        <v>46086.92291666667</v>
      </c>
      <c r="G39" s="2">
        <v>46086.934722222228</v>
      </c>
      <c r="H39" s="2">
        <v>46086.955555555563</v>
      </c>
      <c r="I39" s="2">
        <v>46087.121527777788</v>
      </c>
      <c r="J39" t="s">
        <v>22</v>
      </c>
      <c r="K39" s="3">
        <f>(G39-F39)*1440</f>
        <v>17.000000003026798</v>
      </c>
      <c r="L39" s="3">
        <f>(H39-G39)*1440</f>
        <v>30.00000000349246</v>
      </c>
      <c r="M39" s="3">
        <f>(I39-H39)*1440</f>
        <v>239.00000000372529</v>
      </c>
      <c r="N39" s="3">
        <f>(I39-F39)*1440</f>
        <v>286.00000001024455</v>
      </c>
      <c r="O39" t="str">
        <f>IF(OR(K39&lt;0,L39&lt;0,M39&lt;0,N39&lt;0),"Check","OK")</f>
        <v>OK</v>
      </c>
    </row>
    <row r="40" spans="1:15" x14ac:dyDescent="0.25">
      <c r="A40" t="s">
        <v>122</v>
      </c>
      <c r="B40" s="1" t="s">
        <v>38</v>
      </c>
      <c r="C40" t="s">
        <v>7</v>
      </c>
      <c r="D40" t="s">
        <v>39</v>
      </c>
      <c r="E40" t="s">
        <v>14</v>
      </c>
      <c r="F40" s="2">
        <v>46086.702777777777</v>
      </c>
      <c r="G40" s="2">
        <v>46086.708333333336</v>
      </c>
      <c r="H40" s="2">
        <v>46086.713194444448</v>
      </c>
      <c r="I40" s="2">
        <v>46086.901388888895</v>
      </c>
      <c r="J40" t="s">
        <v>20</v>
      </c>
      <c r="K40" s="3">
        <f>(G40-F40)*1440</f>
        <v>8.0000000051222742</v>
      </c>
      <c r="L40" s="3">
        <f>(H40-G40)*1440</f>
        <v>7.0000000018626451</v>
      </c>
      <c r="M40" s="3">
        <f>(I40-H40)*1440</f>
        <v>271.00000000325963</v>
      </c>
      <c r="N40" s="3">
        <f>(I40-F40)*1440</f>
        <v>286.00000001024455</v>
      </c>
      <c r="O40" t="str">
        <f>IF(OR(K40&lt;0,L40&lt;0,M40&lt;0,N40&lt;0),"Check","OK")</f>
        <v>OK</v>
      </c>
    </row>
    <row r="41" spans="1:15" x14ac:dyDescent="0.25">
      <c r="A41" t="s">
        <v>206</v>
      </c>
      <c r="B41" s="1" t="s">
        <v>38</v>
      </c>
      <c r="C41" t="s">
        <v>7</v>
      </c>
      <c r="D41" t="s">
        <v>39</v>
      </c>
      <c r="E41" t="s">
        <v>13</v>
      </c>
      <c r="F41" s="2">
        <v>46087.930555555555</v>
      </c>
      <c r="G41" s="2">
        <v>46087.947916666664</v>
      </c>
      <c r="H41" s="2">
        <v>46087.951388888883</v>
      </c>
      <c r="I41" s="2">
        <v>46088.129166666658</v>
      </c>
      <c r="J41" t="s">
        <v>22</v>
      </c>
      <c r="K41" s="3">
        <f>(G41-F41)*1440</f>
        <v>24.999999997671694</v>
      </c>
      <c r="L41" s="3">
        <f>(H41-G41)*1440</f>
        <v>4.9999999953433871</v>
      </c>
      <c r="M41" s="3">
        <f>(I41-H41)*1440</f>
        <v>255.99999999627471</v>
      </c>
      <c r="N41" s="3">
        <f>(I41-F41)*1440</f>
        <v>285.99999998928979</v>
      </c>
      <c r="O41" t="str">
        <f>IF(OR(K41&lt;0,L41&lt;0,M41&lt;0,N41&lt;0),"Check","OK")</f>
        <v>OK</v>
      </c>
    </row>
    <row r="42" spans="1:15" x14ac:dyDescent="0.25">
      <c r="A42" t="s">
        <v>188</v>
      </c>
      <c r="B42" s="1" t="s">
        <v>35</v>
      </c>
      <c r="C42" t="s">
        <v>8</v>
      </c>
      <c r="D42" t="s">
        <v>36</v>
      </c>
      <c r="E42" t="s">
        <v>17</v>
      </c>
      <c r="F42" s="2">
        <v>46086.838194444441</v>
      </c>
      <c r="G42" s="2">
        <v>46086.856944444444</v>
      </c>
      <c r="H42" s="2">
        <v>46086.875694444447</v>
      </c>
      <c r="I42" s="2">
        <v>46087.036111111112</v>
      </c>
      <c r="J42" t="s">
        <v>22</v>
      </c>
      <c r="K42" s="3">
        <f>(G42-F42)*1440</f>
        <v>27.000000004190952</v>
      </c>
      <c r="L42" s="3">
        <f>(H42-G42)*1440</f>
        <v>27.000000004190952</v>
      </c>
      <c r="M42" s="3">
        <f>(I42-H42)*1440</f>
        <v>230.99999999860302</v>
      </c>
      <c r="N42" s="3">
        <f>(I42-F42)*1440</f>
        <v>285.00000000698492</v>
      </c>
      <c r="O42" t="str">
        <f>IF(OR(K42&lt;0,L42&lt;0,M42&lt;0,N42&lt;0),"Check","OK")</f>
        <v>OK</v>
      </c>
    </row>
    <row r="43" spans="1:15" x14ac:dyDescent="0.25">
      <c r="A43" t="s">
        <v>95</v>
      </c>
      <c r="B43" s="1" t="s">
        <v>35</v>
      </c>
      <c r="C43" t="s">
        <v>8</v>
      </c>
      <c r="D43" t="s">
        <v>36</v>
      </c>
      <c r="E43" t="s">
        <v>15</v>
      </c>
      <c r="F43" s="2">
        <v>46086.770138888889</v>
      </c>
      <c r="G43" s="2">
        <v>46086.790972222225</v>
      </c>
      <c r="H43" s="2">
        <v>46086.811805555561</v>
      </c>
      <c r="I43" s="2">
        <v>46086.966666666674</v>
      </c>
      <c r="J43" t="s">
        <v>21</v>
      </c>
      <c r="K43" s="3">
        <f>(G43-F43)*1440</f>
        <v>30.00000000349246</v>
      </c>
      <c r="L43" s="3">
        <f>(H43-G43)*1440</f>
        <v>30.00000000349246</v>
      </c>
      <c r="M43" s="3">
        <f>(I43-H43)*1440</f>
        <v>223.00000000395812</v>
      </c>
      <c r="N43" s="3">
        <f>(I43-F43)*1440</f>
        <v>283.00000001094304</v>
      </c>
      <c r="O43" t="str">
        <f>IF(OR(K43&lt;0,L43&lt;0,M43&lt;0,N43&lt;0),"Check","OK")</f>
        <v>OK</v>
      </c>
    </row>
    <row r="44" spans="1:15" x14ac:dyDescent="0.25">
      <c r="A44" t="s">
        <v>200</v>
      </c>
      <c r="B44" s="1" t="s">
        <v>70</v>
      </c>
      <c r="C44" t="s">
        <v>8</v>
      </c>
      <c r="D44" t="s">
        <v>47</v>
      </c>
      <c r="E44" t="s">
        <v>13</v>
      </c>
      <c r="F44" s="2">
        <v>46087.357638888891</v>
      </c>
      <c r="G44" s="2">
        <v>46087.374305555561</v>
      </c>
      <c r="H44" s="2">
        <v>46087.386805555558</v>
      </c>
      <c r="I44" s="2">
        <v>46087.552083333336</v>
      </c>
      <c r="J44" t="s">
        <v>22</v>
      </c>
      <c r="K44" s="3">
        <f>(G44-F44)*1440</f>
        <v>24.000000004889444</v>
      </c>
      <c r="L44" s="3">
        <f>(H44-G44)*1440</f>
        <v>17.999999995809048</v>
      </c>
      <c r="M44" s="3">
        <f>(I44-H44)*1440</f>
        <v>238.00000000046566</v>
      </c>
      <c r="N44" s="3">
        <f>(I44-F44)*1440</f>
        <v>280.00000000116415</v>
      </c>
      <c r="O44" t="str">
        <f>IF(OR(K44&lt;0,L44&lt;0,M44&lt;0,N44&lt;0),"Check","OK")</f>
        <v>OK</v>
      </c>
    </row>
    <row r="45" spans="1:15" x14ac:dyDescent="0.25">
      <c r="A45" t="s">
        <v>78</v>
      </c>
      <c r="B45" s="1" t="s">
        <v>38</v>
      </c>
      <c r="C45" t="s">
        <v>7</v>
      </c>
      <c r="D45" t="s">
        <v>39</v>
      </c>
      <c r="E45" t="s">
        <v>14</v>
      </c>
      <c r="F45" s="2">
        <v>46087.793749999997</v>
      </c>
      <c r="G45" s="2">
        <v>46087.804861111108</v>
      </c>
      <c r="H45" s="2">
        <v>46087.811805555553</v>
      </c>
      <c r="I45" s="2">
        <v>46087.986111111109</v>
      </c>
      <c r="J45" t="s">
        <v>21</v>
      </c>
      <c r="K45" s="3">
        <f>(G45-F45)*1440</f>
        <v>15.999999999767169</v>
      </c>
      <c r="L45" s="3">
        <f>(H45-G45)*1440</f>
        <v>10.000000001164153</v>
      </c>
      <c r="M45" s="3">
        <f>(I45-H45)*1440</f>
        <v>251.00000000093132</v>
      </c>
      <c r="N45" s="3">
        <f>(I45-F45)*1440</f>
        <v>277.00000000186265</v>
      </c>
      <c r="O45" t="str">
        <f>IF(OR(K45&lt;0,L45&lt;0,M45&lt;0,N45&lt;0),"Check","OK")</f>
        <v>OK</v>
      </c>
    </row>
    <row r="46" spans="1:15" x14ac:dyDescent="0.25">
      <c r="A46" t="s">
        <v>151</v>
      </c>
      <c r="B46" s="1" t="s">
        <v>35</v>
      </c>
      <c r="C46" t="s">
        <v>8</v>
      </c>
      <c r="D46" t="s">
        <v>36</v>
      </c>
      <c r="E46" t="s">
        <v>15</v>
      </c>
      <c r="F46" s="2">
        <v>46085.381249999999</v>
      </c>
      <c r="G46" s="2">
        <v>46085.393055555556</v>
      </c>
      <c r="H46" s="2">
        <v>46085.413194444445</v>
      </c>
      <c r="I46" s="2">
        <v>46085.570138888892</v>
      </c>
      <c r="J46" t="s">
        <v>22</v>
      </c>
      <c r="K46" s="3">
        <f>(G46-F46)*1440</f>
        <v>17.000000003026798</v>
      </c>
      <c r="L46" s="3">
        <f>(H46-G46)*1440</f>
        <v>29.000000000232831</v>
      </c>
      <c r="M46" s="3">
        <f>(I46-H46)*1440</f>
        <v>226.00000000325963</v>
      </c>
      <c r="N46" s="3">
        <f>(I46-F46)*1440</f>
        <v>272.00000000651926</v>
      </c>
      <c r="O46" t="str">
        <f>IF(OR(K46&lt;0,L46&lt;0,M46&lt;0,N46&lt;0),"Check","OK")</f>
        <v>OK</v>
      </c>
    </row>
    <row r="47" spans="1:15" x14ac:dyDescent="0.25">
      <c r="A47" t="s">
        <v>143</v>
      </c>
      <c r="B47" s="1" t="s">
        <v>35</v>
      </c>
      <c r="C47" t="s">
        <v>8</v>
      </c>
      <c r="D47" t="s">
        <v>36</v>
      </c>
      <c r="E47" t="s">
        <v>17</v>
      </c>
      <c r="F47" s="2">
        <v>46083.718055555553</v>
      </c>
      <c r="G47" s="2">
        <v>46083.725694444445</v>
      </c>
      <c r="H47" s="2">
        <v>46083.740972222222</v>
      </c>
      <c r="I47" s="2">
        <v>46083.905555555553</v>
      </c>
      <c r="J47" t="s">
        <v>20</v>
      </c>
      <c r="K47" s="3">
        <f>(G47-F47)*1440</f>
        <v>11.000000004423782</v>
      </c>
      <c r="L47" s="3">
        <f>(H47-G47)*1440</f>
        <v>21.999999998370185</v>
      </c>
      <c r="M47" s="3">
        <f>(I47-H47)*1440</f>
        <v>236.99999999720603</v>
      </c>
      <c r="N47" s="3">
        <f>(I47-F47)*1440</f>
        <v>270</v>
      </c>
      <c r="O47" t="str">
        <f>IF(OR(K47&lt;0,L47&lt;0,M47&lt;0,N47&lt;0),"Check","OK")</f>
        <v>OK</v>
      </c>
    </row>
    <row r="48" spans="1:15" x14ac:dyDescent="0.25">
      <c r="A48" t="s">
        <v>84</v>
      </c>
      <c r="B48" s="1" t="s">
        <v>70</v>
      </c>
      <c r="C48" t="s">
        <v>8</v>
      </c>
      <c r="D48" t="s">
        <v>47</v>
      </c>
      <c r="E48" t="s">
        <v>13</v>
      </c>
      <c r="F48" s="2">
        <v>46085.392361111109</v>
      </c>
      <c r="G48" s="2">
        <v>46085.413194444445</v>
      </c>
      <c r="H48" s="2">
        <v>46085.429166666669</v>
      </c>
      <c r="I48" s="2">
        <v>46085.578472222223</v>
      </c>
      <c r="J48" t="s">
        <v>22</v>
      </c>
      <c r="K48" s="3">
        <f>(G48-F48)*1440</f>
        <v>30.00000000349246</v>
      </c>
      <c r="L48" s="3">
        <f>(H48-G48)*1440</f>
        <v>23.000000001629815</v>
      </c>
      <c r="M48" s="3">
        <f>(I48-H48)*1440</f>
        <v>214.99999999883585</v>
      </c>
      <c r="N48" s="3">
        <f>(I48-F48)*1440</f>
        <v>268.00000000395812</v>
      </c>
      <c r="O48" t="str">
        <f>IF(OR(K48&lt;0,L48&lt;0,M48&lt;0,N48&lt;0),"Check","OK")</f>
        <v>OK</v>
      </c>
    </row>
    <row r="49" spans="1:15" x14ac:dyDescent="0.25">
      <c r="A49" t="s">
        <v>104</v>
      </c>
      <c r="B49" s="1" t="s">
        <v>35</v>
      </c>
      <c r="C49" t="s">
        <v>8</v>
      </c>
      <c r="D49" t="s">
        <v>36</v>
      </c>
      <c r="E49" t="s">
        <v>17</v>
      </c>
      <c r="F49" s="2">
        <v>46086.544444444444</v>
      </c>
      <c r="G49" s="2">
        <v>46086.548611111109</v>
      </c>
      <c r="H49" s="2">
        <v>46086.5625</v>
      </c>
      <c r="I49" s="2">
        <v>46086.729166666664</v>
      </c>
      <c r="J49" t="s">
        <v>20</v>
      </c>
      <c r="K49" s="3">
        <f>(G49-F49)*1440</f>
        <v>5.9999999986030161</v>
      </c>
      <c r="L49" s="3">
        <f>(H49-G49)*1440</f>
        <v>20.000000002328306</v>
      </c>
      <c r="M49" s="3">
        <f>(I49-H49)*1440</f>
        <v>239.99999999650754</v>
      </c>
      <c r="N49" s="3">
        <f>(I49-F49)*1440</f>
        <v>265.99999999743886</v>
      </c>
      <c r="O49" t="str">
        <f>IF(OR(K49&lt;0,L49&lt;0,M49&lt;0,N49&lt;0),"Check","OK")</f>
        <v>OK</v>
      </c>
    </row>
    <row r="50" spans="1:15" x14ac:dyDescent="0.25">
      <c r="A50" t="s">
        <v>148</v>
      </c>
      <c r="B50" s="1" t="s">
        <v>70</v>
      </c>
      <c r="C50" t="s">
        <v>8</v>
      </c>
      <c r="D50" t="s">
        <v>47</v>
      </c>
      <c r="E50" t="s">
        <v>14</v>
      </c>
      <c r="F50" s="2">
        <v>46087.422222222223</v>
      </c>
      <c r="G50" s="2">
        <v>46087.43472222222</v>
      </c>
      <c r="H50" s="2">
        <v>46087.451388888891</v>
      </c>
      <c r="I50" s="2">
        <v>46087.603472222225</v>
      </c>
      <c r="J50" t="s">
        <v>22</v>
      </c>
      <c r="K50" s="3">
        <f>(G50-F50)*1440</f>
        <v>17.999999995809048</v>
      </c>
      <c r="L50" s="3">
        <f>(H50-G50)*1440</f>
        <v>24.000000004889444</v>
      </c>
      <c r="M50" s="3">
        <f>(I50-H50)*1440</f>
        <v>219.00000000139698</v>
      </c>
      <c r="N50" s="3">
        <f>(I50-F50)*1440</f>
        <v>261.00000000209548</v>
      </c>
      <c r="O50" t="str">
        <f>IF(OR(K50&lt;0,L50&lt;0,M50&lt;0,N50&lt;0),"Check","OK")</f>
        <v>OK</v>
      </c>
    </row>
    <row r="51" spans="1:15" x14ac:dyDescent="0.25">
      <c r="A51" t="s">
        <v>233</v>
      </c>
      <c r="B51" s="1" t="s">
        <v>70</v>
      </c>
      <c r="C51" t="s">
        <v>8</v>
      </c>
      <c r="D51" t="s">
        <v>47</v>
      </c>
      <c r="E51" t="s">
        <v>15</v>
      </c>
      <c r="F51" s="2">
        <v>46084.898611111108</v>
      </c>
      <c r="G51" s="2">
        <v>46084.907638888886</v>
      </c>
      <c r="H51" s="2">
        <v>46084.919444444444</v>
      </c>
      <c r="I51" s="2">
        <v>46085.076388888891</v>
      </c>
      <c r="J51" t="s">
        <v>22</v>
      </c>
      <c r="K51" s="3">
        <f>(G51-F51)*1440</f>
        <v>13.000000000465661</v>
      </c>
      <c r="L51" s="3">
        <f>(H51-G51)*1440</f>
        <v>17.000000003026798</v>
      </c>
      <c r="M51" s="3">
        <f>(I51-H51)*1440</f>
        <v>226.00000000325963</v>
      </c>
      <c r="N51" s="3">
        <f>(I51-F51)*1440</f>
        <v>256.00000000675209</v>
      </c>
      <c r="O51" t="str">
        <f>IF(OR(K51&lt;0,L51&lt;0,M51&lt;0,N51&lt;0),"Check","OK")</f>
        <v>OK</v>
      </c>
    </row>
    <row r="52" spans="1:15" x14ac:dyDescent="0.25">
      <c r="A52" t="s">
        <v>198</v>
      </c>
      <c r="B52" s="1" t="s">
        <v>70</v>
      </c>
      <c r="C52" t="s">
        <v>8</v>
      </c>
      <c r="D52" t="s">
        <v>47</v>
      </c>
      <c r="E52" t="s">
        <v>14</v>
      </c>
      <c r="F52" s="2">
        <v>46084.578472222223</v>
      </c>
      <c r="G52" s="2">
        <v>46084.589583333334</v>
      </c>
      <c r="H52" s="2">
        <v>46084.605555555558</v>
      </c>
      <c r="I52" s="2">
        <v>46084.755555555559</v>
      </c>
      <c r="J52" t="s">
        <v>20</v>
      </c>
      <c r="K52" s="3">
        <f>(G52-F52)*1440</f>
        <v>15.999999999767169</v>
      </c>
      <c r="L52" s="3">
        <f>(H52-G52)*1440</f>
        <v>23.000000001629815</v>
      </c>
      <c r="M52" s="3">
        <f>(I52-H52)*1440</f>
        <v>216.00000000209548</v>
      </c>
      <c r="N52" s="3">
        <f>(I52-F52)*1440</f>
        <v>255.00000000349246</v>
      </c>
      <c r="O52" t="str">
        <f>IF(OR(K52&lt;0,L52&lt;0,M52&lt;0,N52&lt;0),"Check","OK")</f>
        <v>OK</v>
      </c>
    </row>
    <row r="53" spans="1:15" x14ac:dyDescent="0.25">
      <c r="A53" t="s">
        <v>71</v>
      </c>
      <c r="B53" s="1" t="s">
        <v>35</v>
      </c>
      <c r="C53" t="s">
        <v>8</v>
      </c>
      <c r="D53" t="s">
        <v>36</v>
      </c>
      <c r="E53" t="s">
        <v>15</v>
      </c>
      <c r="F53" s="2">
        <v>46083.447222222225</v>
      </c>
      <c r="G53" s="2">
        <v>46083.455555555556</v>
      </c>
      <c r="H53" s="2">
        <v>46083.474305555559</v>
      </c>
      <c r="I53" s="2">
        <v>46083.620833333334</v>
      </c>
      <c r="J53" t="s">
        <v>22</v>
      </c>
      <c r="K53" s="3">
        <f>(G53-F53)*1440</f>
        <v>11.999999997206032</v>
      </c>
      <c r="L53" s="3">
        <f>(H53-G53)*1440</f>
        <v>27.000000004190952</v>
      </c>
      <c r="M53" s="3">
        <f>(I53-H53)*1440</f>
        <v>210.99999999627471</v>
      </c>
      <c r="N53" s="3">
        <f>(I53-F53)*1440</f>
        <v>249.99999999767169</v>
      </c>
      <c r="O53" t="str">
        <f>IF(OR(K53&lt;0,L53&lt;0,M53&lt;0,N53&lt;0),"Check","OK")</f>
        <v>OK</v>
      </c>
    </row>
    <row r="54" spans="1:15" x14ac:dyDescent="0.25">
      <c r="A54" t="s">
        <v>87</v>
      </c>
      <c r="B54" s="1" t="s">
        <v>70</v>
      </c>
      <c r="C54" t="s">
        <v>8</v>
      </c>
      <c r="D54" t="s">
        <v>47</v>
      </c>
      <c r="E54" t="s">
        <v>13</v>
      </c>
      <c r="F54" s="2">
        <v>46088.948611111111</v>
      </c>
      <c r="G54" s="2">
        <v>46088.961805555555</v>
      </c>
      <c r="H54" s="2">
        <v>46088.981944444444</v>
      </c>
      <c r="I54" s="2">
        <v>46089.120833333334</v>
      </c>
      <c r="J54" t="s">
        <v>22</v>
      </c>
      <c r="K54" s="3">
        <f>(G54-F54)*1440</f>
        <v>18.999999999068677</v>
      </c>
      <c r="L54" s="3">
        <f>(H54-G54)*1440</f>
        <v>29.000000000232831</v>
      </c>
      <c r="M54" s="3">
        <f>(I54-H54)*1440</f>
        <v>200.00000000232831</v>
      </c>
      <c r="N54" s="3">
        <f>(I54-F54)*1440</f>
        <v>248.00000000162981</v>
      </c>
      <c r="O54" t="str">
        <f>IF(OR(K54&lt;0,L54&lt;0,M54&lt;0,N54&lt;0),"Check","OK")</f>
        <v>OK</v>
      </c>
    </row>
    <row r="55" spans="1:15" x14ac:dyDescent="0.25">
      <c r="A55" t="s">
        <v>116</v>
      </c>
      <c r="B55" s="1" t="s">
        <v>35</v>
      </c>
      <c r="C55" t="s">
        <v>8</v>
      </c>
      <c r="D55" t="s">
        <v>36</v>
      </c>
      <c r="E55" t="s">
        <v>15</v>
      </c>
      <c r="F55" s="2">
        <v>46082.790277777778</v>
      </c>
      <c r="G55" s="2">
        <v>46082.803472222222</v>
      </c>
      <c r="H55" s="2">
        <v>46082.817361111112</v>
      </c>
      <c r="I55" s="2">
        <v>46082.962500000001</v>
      </c>
      <c r="J55" t="s">
        <v>21</v>
      </c>
      <c r="K55" s="3">
        <f>(G55-F55)*1440</f>
        <v>18.999999999068677</v>
      </c>
      <c r="L55" s="3">
        <f>(H55-G55)*1440</f>
        <v>20.000000002328306</v>
      </c>
      <c r="M55" s="3">
        <f>(I55-H55)*1440</f>
        <v>209.00000000023283</v>
      </c>
      <c r="N55" s="3">
        <f>(I55-F55)*1440</f>
        <v>248.00000000162981</v>
      </c>
      <c r="O55" t="str">
        <f>IF(OR(K55&lt;0,L55&lt;0,M55&lt;0,N55&lt;0),"Check","OK")</f>
        <v>OK</v>
      </c>
    </row>
    <row r="56" spans="1:15" x14ac:dyDescent="0.25">
      <c r="A56" t="s">
        <v>154</v>
      </c>
      <c r="B56" s="1" t="s">
        <v>35</v>
      </c>
      <c r="C56" t="s">
        <v>8</v>
      </c>
      <c r="D56" t="s">
        <v>36</v>
      </c>
      <c r="E56" t="s">
        <v>17</v>
      </c>
      <c r="F56" s="2">
        <v>46087.769444444442</v>
      </c>
      <c r="G56" s="2">
        <v>46087.777083333334</v>
      </c>
      <c r="H56" s="2">
        <v>46087.783333333333</v>
      </c>
      <c r="I56" s="2">
        <v>46087.941666666666</v>
      </c>
      <c r="J56" t="s">
        <v>20</v>
      </c>
      <c r="K56" s="3">
        <f>(G56-F56)*1440</f>
        <v>11.000000004423782</v>
      </c>
      <c r="L56" s="3">
        <f>(H56-G56)*1440</f>
        <v>8.9999999979045242</v>
      </c>
      <c r="M56" s="3">
        <f>(I56-H56)*1440</f>
        <v>227.99999999930151</v>
      </c>
      <c r="N56" s="3">
        <f>(I56-F56)*1440</f>
        <v>248.00000000162981</v>
      </c>
      <c r="O56" t="str">
        <f>IF(OR(K56&lt;0,L56&lt;0,M56&lt;0,N56&lt;0),"Check","OK")</f>
        <v>OK</v>
      </c>
    </row>
    <row r="57" spans="1:15" x14ac:dyDescent="0.25">
      <c r="A57" t="s">
        <v>181</v>
      </c>
      <c r="B57" s="1" t="s">
        <v>70</v>
      </c>
      <c r="C57" t="s">
        <v>8</v>
      </c>
      <c r="D57" t="s">
        <v>47</v>
      </c>
      <c r="E57" t="s">
        <v>14</v>
      </c>
      <c r="F57" s="2">
        <v>46082.495138888888</v>
      </c>
      <c r="G57" s="2">
        <v>46082.502083333333</v>
      </c>
      <c r="H57" s="2">
        <v>46082.515277777777</v>
      </c>
      <c r="I57" s="2">
        <v>46082.663888888885</v>
      </c>
      <c r="J57" t="s">
        <v>20</v>
      </c>
      <c r="K57" s="3">
        <f>(G57-F57)*1440</f>
        <v>10.000000001164153</v>
      </c>
      <c r="L57" s="3">
        <f>(H57-G57)*1440</f>
        <v>18.999999999068677</v>
      </c>
      <c r="M57" s="3">
        <f>(I57-H57)*1440</f>
        <v>213.99999999557622</v>
      </c>
      <c r="N57" s="3">
        <f>(I57-F57)*1440</f>
        <v>242.99999999580905</v>
      </c>
      <c r="O57" t="str">
        <f>IF(OR(K57&lt;0,L57&lt;0,M57&lt;0,N57&lt;0),"Check","OK")</f>
        <v>OK</v>
      </c>
    </row>
    <row r="58" spans="1:15" x14ac:dyDescent="0.25">
      <c r="A58" t="s">
        <v>237</v>
      </c>
      <c r="B58" s="1" t="s">
        <v>70</v>
      </c>
      <c r="C58" t="s">
        <v>8</v>
      </c>
      <c r="D58" t="s">
        <v>47</v>
      </c>
      <c r="E58" t="s">
        <v>14</v>
      </c>
      <c r="F58" s="2">
        <v>46084.459722222222</v>
      </c>
      <c r="G58" s="2">
        <v>46084.46875</v>
      </c>
      <c r="H58" s="2">
        <v>46084.474999999999</v>
      </c>
      <c r="I58" s="2">
        <v>46084.624305555553</v>
      </c>
      <c r="J58" t="s">
        <v>22</v>
      </c>
      <c r="K58" s="3">
        <f>(G58-F58)*1440</f>
        <v>13.000000000465661</v>
      </c>
      <c r="L58" s="3">
        <f>(H58-G58)*1440</f>
        <v>8.9999999979045242</v>
      </c>
      <c r="M58" s="3">
        <f>(I58-H58)*1440</f>
        <v>214.99999999883585</v>
      </c>
      <c r="N58" s="3">
        <f>(I58-F58)*1440</f>
        <v>236.99999999720603</v>
      </c>
      <c r="O58" t="str">
        <f>IF(OR(K58&lt;0,L58&lt;0,M58&lt;0,N58&lt;0),"Check","OK")</f>
        <v>OK</v>
      </c>
    </row>
    <row r="59" spans="1:15" x14ac:dyDescent="0.25">
      <c r="A59" t="s">
        <v>135</v>
      </c>
      <c r="B59" s="1" t="s">
        <v>35</v>
      </c>
      <c r="C59" t="s">
        <v>8</v>
      </c>
      <c r="D59" t="s">
        <v>36</v>
      </c>
      <c r="E59" t="s">
        <v>17</v>
      </c>
      <c r="F59" s="2">
        <v>46082.781944444447</v>
      </c>
      <c r="G59" s="2">
        <v>46082.799305555556</v>
      </c>
      <c r="H59" s="2">
        <v>46082.807638888888</v>
      </c>
      <c r="I59" s="2">
        <v>46082.944444444445</v>
      </c>
      <c r="J59" t="s">
        <v>20</v>
      </c>
      <c r="K59" s="3">
        <f>(G59-F59)*1440</f>
        <v>24.999999997671694</v>
      </c>
      <c r="L59" s="3">
        <f>(H59-G59)*1440</f>
        <v>11.999999997206032</v>
      </c>
      <c r="M59" s="3">
        <f>(I59-H59)*1440</f>
        <v>197.0000000030268</v>
      </c>
      <c r="N59" s="3">
        <f>(I59-F59)*1440</f>
        <v>233.99999999790452</v>
      </c>
      <c r="O59" t="str">
        <f>IF(OR(K59&lt;0,L59&lt;0,M59&lt;0,N59&lt;0),"Check","OK")</f>
        <v>OK</v>
      </c>
    </row>
    <row r="60" spans="1:15" x14ac:dyDescent="0.25">
      <c r="A60" t="s">
        <v>227</v>
      </c>
      <c r="B60" s="1" t="s">
        <v>70</v>
      </c>
      <c r="C60" t="s">
        <v>8</v>
      </c>
      <c r="D60" t="s">
        <v>47</v>
      </c>
      <c r="E60" t="s">
        <v>14</v>
      </c>
      <c r="F60" s="2">
        <v>46085.28125</v>
      </c>
      <c r="G60" s="2">
        <v>46085.298611111109</v>
      </c>
      <c r="H60" s="2">
        <v>46085.319444444445</v>
      </c>
      <c r="I60" s="2">
        <v>46085.443749999999</v>
      </c>
      <c r="J60" t="s">
        <v>22</v>
      </c>
      <c r="K60" s="3">
        <f>(G60-F60)*1440</f>
        <v>24.999999997671694</v>
      </c>
      <c r="L60" s="3">
        <f>(H60-G60)*1440</f>
        <v>30.00000000349246</v>
      </c>
      <c r="M60" s="3">
        <f>(I60-H60)*1440</f>
        <v>178.99999999674037</v>
      </c>
      <c r="N60" s="3">
        <f>(I60-F60)*1440</f>
        <v>233.99999999790452</v>
      </c>
      <c r="O60" t="str">
        <f>IF(OR(K60&lt;0,L60&lt;0,M60&lt;0,N60&lt;0),"Check","OK")</f>
        <v>OK</v>
      </c>
    </row>
    <row r="61" spans="1:15" x14ac:dyDescent="0.25">
      <c r="A61" t="s">
        <v>131</v>
      </c>
      <c r="B61" s="1" t="s">
        <v>70</v>
      </c>
      <c r="C61" t="s">
        <v>8</v>
      </c>
      <c r="D61" t="s">
        <v>47</v>
      </c>
      <c r="E61" t="s">
        <v>13</v>
      </c>
      <c r="F61" s="2">
        <v>46085.551388888889</v>
      </c>
      <c r="G61" s="2">
        <v>46085.554861111108</v>
      </c>
      <c r="H61" s="2">
        <v>46085.565972222219</v>
      </c>
      <c r="I61" s="2">
        <v>46085.713194444441</v>
      </c>
      <c r="J61" t="s">
        <v>20</v>
      </c>
      <c r="K61" s="3">
        <f>(G61-F61)*1440</f>
        <v>4.9999999953433871</v>
      </c>
      <c r="L61" s="3">
        <f>(H61-G61)*1440</f>
        <v>15.999999999767169</v>
      </c>
      <c r="M61" s="3">
        <f>(I61-H61)*1440</f>
        <v>211.99999999953434</v>
      </c>
      <c r="N61" s="3">
        <f>(I61-F61)*1440</f>
        <v>232.9999999946449</v>
      </c>
      <c r="O61" t="str">
        <f>IF(OR(K61&lt;0,L61&lt;0,M61&lt;0,N61&lt;0),"Check","OK")</f>
        <v>OK</v>
      </c>
    </row>
    <row r="62" spans="1:15" x14ac:dyDescent="0.25">
      <c r="A62" t="s">
        <v>129</v>
      </c>
      <c r="B62" s="1" t="s">
        <v>35</v>
      </c>
      <c r="C62" t="s">
        <v>8</v>
      </c>
      <c r="D62" t="s">
        <v>36</v>
      </c>
      <c r="E62" t="s">
        <v>15</v>
      </c>
      <c r="F62" s="2">
        <v>46085.258333333331</v>
      </c>
      <c r="G62" s="2">
        <v>46085.272916666661</v>
      </c>
      <c r="H62" s="2">
        <v>46085.29305555555</v>
      </c>
      <c r="I62" s="2">
        <v>46085.416666666664</v>
      </c>
      <c r="J62" t="s">
        <v>22</v>
      </c>
      <c r="K62" s="3">
        <f>(G62-F62)*1440</f>
        <v>20.999999995110556</v>
      </c>
      <c r="L62" s="3">
        <f>(H62-G62)*1440</f>
        <v>29.000000000232831</v>
      </c>
      <c r="M62" s="3">
        <f>(I62-H62)*1440</f>
        <v>178.00000000395812</v>
      </c>
      <c r="N62" s="3">
        <f>(I62-F62)*1440</f>
        <v>227.99999999930151</v>
      </c>
      <c r="O62" t="str">
        <f>IF(OR(K62&lt;0,L62&lt;0,M62&lt;0,N62&lt;0),"Check","OK")</f>
        <v>OK</v>
      </c>
    </row>
    <row r="63" spans="1:15" x14ac:dyDescent="0.25">
      <c r="A63" t="s">
        <v>119</v>
      </c>
      <c r="B63" s="1" t="s">
        <v>70</v>
      </c>
      <c r="C63" t="s">
        <v>8</v>
      </c>
      <c r="D63" t="s">
        <v>47</v>
      </c>
      <c r="E63" t="s">
        <v>14</v>
      </c>
      <c r="F63" s="2">
        <v>46083.45416666667</v>
      </c>
      <c r="G63" s="2">
        <v>46083.47083333334</v>
      </c>
      <c r="H63" s="2">
        <v>46083.475000000006</v>
      </c>
      <c r="I63" s="2">
        <v>46083.611111111117</v>
      </c>
      <c r="J63" t="s">
        <v>22</v>
      </c>
      <c r="K63" s="3">
        <f>(G63-F63)*1440</f>
        <v>24.000000004889444</v>
      </c>
      <c r="L63" s="3">
        <f>(H63-G63)*1440</f>
        <v>5.9999999986030161</v>
      </c>
      <c r="M63" s="3">
        <f>(I63-H63)*1440</f>
        <v>195.99999999976717</v>
      </c>
      <c r="N63" s="3">
        <f>(I63-F63)*1440</f>
        <v>226.00000000325963</v>
      </c>
      <c r="O63" t="str">
        <f>IF(OR(K63&lt;0,L63&lt;0,M63&lt;0,N63&lt;0),"Check","OK")</f>
        <v>OK</v>
      </c>
    </row>
    <row r="64" spans="1:15" x14ac:dyDescent="0.25">
      <c r="A64" t="s">
        <v>96</v>
      </c>
      <c r="B64" s="1" t="s">
        <v>70</v>
      </c>
      <c r="C64" t="s">
        <v>8</v>
      </c>
      <c r="D64" t="s">
        <v>47</v>
      </c>
      <c r="E64" t="s">
        <v>13</v>
      </c>
      <c r="F64" s="2">
        <v>46086.594444444447</v>
      </c>
      <c r="G64" s="2">
        <v>46086.597916666666</v>
      </c>
      <c r="H64" s="2">
        <v>46086.603472222225</v>
      </c>
      <c r="I64" s="2">
        <v>46086.748611111114</v>
      </c>
      <c r="J64" t="s">
        <v>20</v>
      </c>
      <c r="K64" s="3">
        <f>(G64-F64)*1440</f>
        <v>4.9999999953433871</v>
      </c>
      <c r="L64" s="3">
        <f>(H64-G64)*1440</f>
        <v>8.0000000051222742</v>
      </c>
      <c r="M64" s="3">
        <f>(I64-H64)*1440</f>
        <v>209.00000000023283</v>
      </c>
      <c r="N64" s="3">
        <f>(I64-F64)*1440</f>
        <v>222.00000000069849</v>
      </c>
      <c r="O64" t="str">
        <f>IF(OR(K64&lt;0,L64&lt;0,M64&lt;0,N64&lt;0),"Check","OK")</f>
        <v>OK</v>
      </c>
    </row>
    <row r="65" spans="1:15" x14ac:dyDescent="0.25">
      <c r="A65" t="s">
        <v>72</v>
      </c>
      <c r="B65" s="1" t="s">
        <v>70</v>
      </c>
      <c r="C65" t="s">
        <v>8</v>
      </c>
      <c r="D65" t="s">
        <v>47</v>
      </c>
      <c r="E65" t="s">
        <v>13</v>
      </c>
      <c r="F65" s="2">
        <v>46088.620833333334</v>
      </c>
      <c r="G65" s="2">
        <v>46088.62777777778</v>
      </c>
      <c r="H65" s="2">
        <v>46088.643750000003</v>
      </c>
      <c r="I65" s="2">
        <v>46088.773611111115</v>
      </c>
      <c r="J65" t="s">
        <v>20</v>
      </c>
      <c r="K65" s="3">
        <f>(G65-F65)*1440</f>
        <v>10.000000001164153</v>
      </c>
      <c r="L65" s="3">
        <f>(H65-G65)*1440</f>
        <v>23.000000001629815</v>
      </c>
      <c r="M65" s="3">
        <f>(I65-H65)*1440</f>
        <v>187.00000000186265</v>
      </c>
      <c r="N65" s="3">
        <f>(I65-F65)*1440</f>
        <v>220.00000000465661</v>
      </c>
      <c r="O65" t="str">
        <f>IF(OR(K65&lt;0,L65&lt;0,M65&lt;0,N65&lt;0),"Check","OK")</f>
        <v>OK</v>
      </c>
    </row>
    <row r="66" spans="1:15" x14ac:dyDescent="0.25">
      <c r="A66" t="s">
        <v>140</v>
      </c>
      <c r="B66" s="1" t="s">
        <v>70</v>
      </c>
      <c r="C66" t="s">
        <v>8</v>
      </c>
      <c r="D66" t="s">
        <v>47</v>
      </c>
      <c r="E66" t="s">
        <v>13</v>
      </c>
      <c r="F66" s="2">
        <v>46086.852777777778</v>
      </c>
      <c r="G66" s="2">
        <v>46086.870138888888</v>
      </c>
      <c r="H66" s="2">
        <v>46086.881249999999</v>
      </c>
      <c r="I66" s="2">
        <v>46087.005555555552</v>
      </c>
      <c r="J66" t="s">
        <v>22</v>
      </c>
      <c r="K66" s="3">
        <f>(G66-F66)*1440</f>
        <v>24.999999997671694</v>
      </c>
      <c r="L66" s="3">
        <f>(H66-G66)*1440</f>
        <v>15.999999999767169</v>
      </c>
      <c r="M66" s="3">
        <f>(I66-H66)*1440</f>
        <v>178.99999999674037</v>
      </c>
      <c r="N66" s="3">
        <f>(I66-F66)*1440</f>
        <v>219.99999999417923</v>
      </c>
      <c r="O66" t="str">
        <f>IF(OR(K66&lt;0,L66&lt;0,M66&lt;0,N66&lt;0),"Check","OK")</f>
        <v>OK</v>
      </c>
    </row>
    <row r="67" spans="1:15" x14ac:dyDescent="0.25">
      <c r="A67" t="s">
        <v>226</v>
      </c>
      <c r="B67" s="1" t="s">
        <v>70</v>
      </c>
      <c r="C67" t="s">
        <v>8</v>
      </c>
      <c r="D67" t="s">
        <v>47</v>
      </c>
      <c r="E67" t="s">
        <v>14</v>
      </c>
      <c r="F67" s="2">
        <v>46082.367361111108</v>
      </c>
      <c r="G67" s="2">
        <v>46082.377083333333</v>
      </c>
      <c r="H67" s="2">
        <v>46082.384027777778</v>
      </c>
      <c r="I67" s="2">
        <v>46082.518750000003</v>
      </c>
      <c r="J67" t="s">
        <v>22</v>
      </c>
      <c r="K67" s="3">
        <f>(G67-F67)*1440</f>
        <v>14.00000000372529</v>
      </c>
      <c r="L67" s="3">
        <f>(H67-G67)*1440</f>
        <v>10.000000001164153</v>
      </c>
      <c r="M67" s="3">
        <f>(I67-H67)*1440</f>
        <v>194.00000000372529</v>
      </c>
      <c r="N67" s="3">
        <f>(I67-F67)*1440</f>
        <v>218.00000000861473</v>
      </c>
      <c r="O67" t="str">
        <f>IF(OR(K67&lt;0,L67&lt;0,M67&lt;0,N67&lt;0),"Check","OK")</f>
        <v>OK</v>
      </c>
    </row>
    <row r="68" spans="1:15" x14ac:dyDescent="0.25">
      <c r="A68" t="s">
        <v>204</v>
      </c>
      <c r="B68" s="1" t="s">
        <v>70</v>
      </c>
      <c r="C68" t="s">
        <v>8</v>
      </c>
      <c r="D68" t="s">
        <v>47</v>
      </c>
      <c r="E68" t="s">
        <v>13</v>
      </c>
      <c r="F68" s="2">
        <v>46086.364583333336</v>
      </c>
      <c r="G68" s="2">
        <v>46086.372222222228</v>
      </c>
      <c r="H68" s="2">
        <v>46086.376388888893</v>
      </c>
      <c r="I68" s="2">
        <v>46086.514583333337</v>
      </c>
      <c r="J68" t="s">
        <v>22</v>
      </c>
      <c r="K68" s="3">
        <f>(G68-F68)*1440</f>
        <v>11.000000004423782</v>
      </c>
      <c r="L68" s="3">
        <f>(H68-G68)*1440</f>
        <v>5.9999999986030161</v>
      </c>
      <c r="M68" s="3">
        <f>(I68-H68)*1440</f>
        <v>198.99999999906868</v>
      </c>
      <c r="N68" s="3">
        <f>(I68-F68)*1440</f>
        <v>216.00000000209548</v>
      </c>
      <c r="O68" t="str">
        <f>IF(OR(K68&lt;0,L68&lt;0,M68&lt;0,N68&lt;0),"Check","OK")</f>
        <v>OK</v>
      </c>
    </row>
    <row r="69" spans="1:15" x14ac:dyDescent="0.25">
      <c r="A69" t="s">
        <v>102</v>
      </c>
      <c r="B69" s="1" t="s">
        <v>70</v>
      </c>
      <c r="C69" t="s">
        <v>8</v>
      </c>
      <c r="D69" t="s">
        <v>47</v>
      </c>
      <c r="E69" t="s">
        <v>14</v>
      </c>
      <c r="F69" s="2">
        <v>46088.484722222223</v>
      </c>
      <c r="G69" s="2">
        <v>46088.49722222222</v>
      </c>
      <c r="H69" s="2">
        <v>46088.50277777778</v>
      </c>
      <c r="I69" s="2">
        <v>46088.634027777778</v>
      </c>
      <c r="J69" t="s">
        <v>20</v>
      </c>
      <c r="K69" s="3">
        <f>(G69-F69)*1440</f>
        <v>17.999999995809048</v>
      </c>
      <c r="L69" s="3">
        <f>(H69-G69)*1440</f>
        <v>8.0000000051222742</v>
      </c>
      <c r="M69" s="3">
        <f>(I69-H69)*1440</f>
        <v>188.99999999790452</v>
      </c>
      <c r="N69" s="3">
        <f>(I69-F69)*1440</f>
        <v>214.99999999883585</v>
      </c>
      <c r="O69" t="str">
        <f>IF(OR(K69&lt;0,L69&lt;0,M69&lt;0,N69&lt;0),"Check","OK")</f>
        <v>OK</v>
      </c>
    </row>
    <row r="70" spans="1:15" x14ac:dyDescent="0.25">
      <c r="A70" t="s">
        <v>105</v>
      </c>
      <c r="B70" s="1" t="s">
        <v>35</v>
      </c>
      <c r="C70" t="s">
        <v>8</v>
      </c>
      <c r="D70" t="s">
        <v>36</v>
      </c>
      <c r="E70" t="s">
        <v>17</v>
      </c>
      <c r="F70" s="2">
        <v>46083.884722222225</v>
      </c>
      <c r="G70" s="2">
        <v>46083.904166666667</v>
      </c>
      <c r="H70" s="2">
        <v>46083.915277777778</v>
      </c>
      <c r="I70" s="2">
        <v>46084.031944444447</v>
      </c>
      <c r="J70" t="s">
        <v>22</v>
      </c>
      <c r="K70" s="3">
        <f>(G70-F70)*1440</f>
        <v>27.999999996973202</v>
      </c>
      <c r="L70" s="3">
        <f>(H70-G70)*1440</f>
        <v>15.999999999767169</v>
      </c>
      <c r="M70" s="3">
        <f>(I70-H70)*1440</f>
        <v>168.00000000279397</v>
      </c>
      <c r="N70" s="3">
        <f>(I70-F70)*1440</f>
        <v>211.99999999953434</v>
      </c>
      <c r="O70" t="str">
        <f>IF(OR(K70&lt;0,L70&lt;0,M70&lt;0,N70&lt;0),"Check","OK")</f>
        <v>OK</v>
      </c>
    </row>
    <row r="71" spans="1:15" x14ac:dyDescent="0.25">
      <c r="A71" t="s">
        <v>238</v>
      </c>
      <c r="B71" s="1" t="s">
        <v>70</v>
      </c>
      <c r="C71" t="s">
        <v>8</v>
      </c>
      <c r="D71" t="s">
        <v>47</v>
      </c>
      <c r="E71" t="s">
        <v>13</v>
      </c>
      <c r="F71" s="2">
        <v>46086.520833333336</v>
      </c>
      <c r="G71" s="2">
        <v>46086.538194444445</v>
      </c>
      <c r="H71" s="2">
        <v>46086.551388888889</v>
      </c>
      <c r="I71" s="2">
        <v>46086.666666666664</v>
      </c>
      <c r="J71" t="s">
        <v>20</v>
      </c>
      <c r="K71" s="3">
        <f>(G71-F71)*1440</f>
        <v>24.999999997671694</v>
      </c>
      <c r="L71" s="3">
        <f>(H71-G71)*1440</f>
        <v>18.999999999068677</v>
      </c>
      <c r="M71" s="3">
        <f>(I71-H71)*1440</f>
        <v>165.99999999627471</v>
      </c>
      <c r="N71" s="3">
        <f>(I71-F71)*1440</f>
        <v>209.99999999301508</v>
      </c>
      <c r="O71" t="str">
        <f>IF(OR(K71&lt;0,L71&lt;0,M71&lt;0,N71&lt;0),"Check","OK")</f>
        <v>OK</v>
      </c>
    </row>
    <row r="72" spans="1:15" x14ac:dyDescent="0.25">
      <c r="A72" t="s">
        <v>90</v>
      </c>
      <c r="B72" s="1" t="s">
        <v>53</v>
      </c>
      <c r="C72" t="s">
        <v>9</v>
      </c>
      <c r="D72" t="s">
        <v>54</v>
      </c>
      <c r="E72" t="s">
        <v>17</v>
      </c>
      <c r="F72" s="2">
        <v>46088.788194444445</v>
      </c>
      <c r="G72" s="2">
        <v>46088.808333333334</v>
      </c>
      <c r="H72" s="2">
        <v>46088.828472222223</v>
      </c>
      <c r="I72" s="2">
        <v>46088.931944444448</v>
      </c>
      <c r="J72" t="s">
        <v>20</v>
      </c>
      <c r="K72" s="3">
        <f>(G72-F72)*1440</f>
        <v>29.000000000232831</v>
      </c>
      <c r="L72" s="3">
        <f>(H72-G72)*1440</f>
        <v>29.000000000232831</v>
      </c>
      <c r="M72" s="3">
        <f>(I72-H72)*1440</f>
        <v>149.00000000372529</v>
      </c>
      <c r="N72" s="3">
        <f>(I72-F72)*1440</f>
        <v>207.00000000419095</v>
      </c>
      <c r="O72" t="str">
        <f>IF(OR(K72&lt;0,L72&lt;0,M72&lt;0,N72&lt;0),"Check","OK")</f>
        <v>OK</v>
      </c>
    </row>
    <row r="73" spans="1:15" x14ac:dyDescent="0.25">
      <c r="A73" t="s">
        <v>34</v>
      </c>
      <c r="B73" s="1" t="s">
        <v>35</v>
      </c>
      <c r="C73" t="s">
        <v>8</v>
      </c>
      <c r="D73" t="s">
        <v>36</v>
      </c>
      <c r="E73" t="s">
        <v>15</v>
      </c>
      <c r="F73" s="2">
        <v>46086.613888888889</v>
      </c>
      <c r="G73" s="2">
        <v>46086.622916666667</v>
      </c>
      <c r="H73" s="2">
        <v>46086.636805555558</v>
      </c>
      <c r="I73" s="2">
        <v>46086.756249999999</v>
      </c>
      <c r="J73" t="s">
        <v>20</v>
      </c>
      <c r="K73" s="3">
        <f>(G73-F73)*1440</f>
        <v>13.000000000465661</v>
      </c>
      <c r="L73" s="3">
        <f>(H73-G73)*1440</f>
        <v>20.000000002328306</v>
      </c>
      <c r="M73" s="3">
        <f>(I73-H73)*1440</f>
        <v>171.99999999487773</v>
      </c>
      <c r="N73" s="3">
        <f>(I73-F73)*1440</f>
        <v>204.99999999767169</v>
      </c>
      <c r="O73" t="str">
        <f>IF(OR(K73&lt;0,L73&lt;0,M73&lt;0,N73&lt;0),"Check","OK")</f>
        <v>OK</v>
      </c>
    </row>
    <row r="74" spans="1:15" x14ac:dyDescent="0.25">
      <c r="A74" t="s">
        <v>199</v>
      </c>
      <c r="B74" s="1" t="s">
        <v>35</v>
      </c>
      <c r="C74" t="s">
        <v>8</v>
      </c>
      <c r="D74" t="s">
        <v>36</v>
      </c>
      <c r="E74" t="s">
        <v>15</v>
      </c>
      <c r="F74" s="2">
        <v>46086.470833333333</v>
      </c>
      <c r="G74" s="2">
        <v>46086.476388888892</v>
      </c>
      <c r="H74" s="2">
        <v>46086.494444444448</v>
      </c>
      <c r="I74" s="2">
        <v>46086.611111111117</v>
      </c>
      <c r="J74" t="s">
        <v>22</v>
      </c>
      <c r="K74" s="3">
        <f>(G74-F74)*1440</f>
        <v>8.0000000051222742</v>
      </c>
      <c r="L74" s="3">
        <f>(H74-G74)*1440</f>
        <v>26.000000000931323</v>
      </c>
      <c r="M74" s="3">
        <f>(I74-H74)*1440</f>
        <v>168.00000000279397</v>
      </c>
      <c r="N74" s="3">
        <f>(I74-F74)*1440</f>
        <v>202.00000000884756</v>
      </c>
      <c r="O74" t="str">
        <f>IF(OR(K74&lt;0,L74&lt;0,M74&lt;0,N74&lt;0),"Check","OK")</f>
        <v>OK</v>
      </c>
    </row>
    <row r="75" spans="1:15" x14ac:dyDescent="0.25">
      <c r="A75" t="s">
        <v>109</v>
      </c>
      <c r="B75" s="1" t="s">
        <v>70</v>
      </c>
      <c r="C75" t="s">
        <v>8</v>
      </c>
      <c r="D75" t="s">
        <v>47</v>
      </c>
      <c r="E75" t="s">
        <v>14</v>
      </c>
      <c r="F75" s="2">
        <v>46087.690972222219</v>
      </c>
      <c r="G75" s="2">
        <v>46087.707638888889</v>
      </c>
      <c r="H75" s="2">
        <v>46087.727777777778</v>
      </c>
      <c r="I75" s="2">
        <v>46087.829861111109</v>
      </c>
      <c r="J75" t="s">
        <v>20</v>
      </c>
      <c r="K75" s="3">
        <f>(G75-F75)*1440</f>
        <v>24.000000004889444</v>
      </c>
      <c r="L75" s="3">
        <f>(H75-G75)*1440</f>
        <v>29.000000000232831</v>
      </c>
      <c r="M75" s="3">
        <f>(I75-H75)*1440</f>
        <v>146.99999999720603</v>
      </c>
      <c r="N75" s="3">
        <f>(I75-F75)*1440</f>
        <v>200.00000000232831</v>
      </c>
      <c r="O75" t="str">
        <f>IF(OR(K75&lt;0,L75&lt;0,M75&lt;0,N75&lt;0),"Check","OK")</f>
        <v>OK</v>
      </c>
    </row>
    <row r="76" spans="1:15" x14ac:dyDescent="0.25">
      <c r="A76" t="s">
        <v>155</v>
      </c>
      <c r="B76" s="1" t="s">
        <v>70</v>
      </c>
      <c r="C76" t="s">
        <v>8</v>
      </c>
      <c r="D76" t="s">
        <v>47</v>
      </c>
      <c r="E76" t="s">
        <v>15</v>
      </c>
      <c r="F76" s="2">
        <v>46083.947916666664</v>
      </c>
      <c r="G76" s="2">
        <v>46083.964583333334</v>
      </c>
      <c r="H76" s="2">
        <v>46083.96875</v>
      </c>
      <c r="I76" s="2">
        <v>46084.086111111108</v>
      </c>
      <c r="J76" t="s">
        <v>22</v>
      </c>
      <c r="K76" s="3">
        <f>(G76-F76)*1440</f>
        <v>24.000000004889444</v>
      </c>
      <c r="L76" s="3">
        <f>(H76-G76)*1440</f>
        <v>5.9999999986030161</v>
      </c>
      <c r="M76" s="3">
        <f>(I76-H76)*1440</f>
        <v>168.99999999557622</v>
      </c>
      <c r="N76" s="3">
        <f>(I76-F76)*1440</f>
        <v>198.99999999906868</v>
      </c>
      <c r="O76" t="str">
        <f>IF(OR(K76&lt;0,L76&lt;0,M76&lt;0,N76&lt;0),"Check","OK")</f>
        <v>OK</v>
      </c>
    </row>
    <row r="77" spans="1:15" x14ac:dyDescent="0.25">
      <c r="A77" t="s">
        <v>125</v>
      </c>
      <c r="B77" s="1" t="s">
        <v>53</v>
      </c>
      <c r="C77" t="s">
        <v>9</v>
      </c>
      <c r="D77" t="s">
        <v>54</v>
      </c>
      <c r="E77" t="s">
        <v>18</v>
      </c>
      <c r="F77" s="2">
        <v>46082.259027777778</v>
      </c>
      <c r="G77" s="2">
        <v>46082.274305555555</v>
      </c>
      <c r="H77" s="2">
        <v>46082.294444444444</v>
      </c>
      <c r="I77" s="2">
        <v>46082.393750000003</v>
      </c>
      <c r="J77" t="s">
        <v>22</v>
      </c>
      <c r="K77" s="3">
        <f>(G77-F77)*1440</f>
        <v>21.999999998370185</v>
      </c>
      <c r="L77" s="3">
        <f>(H77-G77)*1440</f>
        <v>29.000000000232831</v>
      </c>
      <c r="M77" s="3">
        <f>(I77-H77)*1440</f>
        <v>143.00000000512227</v>
      </c>
      <c r="N77" s="3">
        <f>(I77-F77)*1440</f>
        <v>194.00000000372529</v>
      </c>
      <c r="O77" t="str">
        <f>IF(OR(K77&lt;0,L77&lt;0,M77&lt;0,N77&lt;0),"Check","OK")</f>
        <v>OK</v>
      </c>
    </row>
    <row r="78" spans="1:15" x14ac:dyDescent="0.25">
      <c r="A78" t="s">
        <v>67</v>
      </c>
      <c r="B78" s="1" t="s">
        <v>35</v>
      </c>
      <c r="C78" t="s">
        <v>8</v>
      </c>
      <c r="D78" t="s">
        <v>36</v>
      </c>
      <c r="E78" t="s">
        <v>17</v>
      </c>
      <c r="F78" s="2">
        <v>46087.490972222222</v>
      </c>
      <c r="G78" s="2">
        <v>46087.509027777778</v>
      </c>
      <c r="H78" s="2">
        <v>46087.529166666667</v>
      </c>
      <c r="I78" s="2">
        <v>46087.625</v>
      </c>
      <c r="J78" t="s">
        <v>20</v>
      </c>
      <c r="K78" s="3">
        <f>(G78-F78)*1440</f>
        <v>26.000000000931323</v>
      </c>
      <c r="L78" s="3">
        <f>(H78-G78)*1440</f>
        <v>29.000000000232831</v>
      </c>
      <c r="M78" s="3">
        <f>(I78-H78)*1440</f>
        <v>137.99999999930151</v>
      </c>
      <c r="N78" s="3">
        <f>(I78-F78)*1440</f>
        <v>193.00000000046566</v>
      </c>
      <c r="O78" t="str">
        <f>IF(OR(K78&lt;0,L78&lt;0,M78&lt;0,N78&lt;0),"Check","OK")</f>
        <v>OK</v>
      </c>
    </row>
    <row r="79" spans="1:15" x14ac:dyDescent="0.25">
      <c r="A79" t="s">
        <v>107</v>
      </c>
      <c r="B79" s="1" t="s">
        <v>41</v>
      </c>
      <c r="C79" t="s">
        <v>9</v>
      </c>
      <c r="D79" t="s">
        <v>42</v>
      </c>
      <c r="E79" t="s">
        <v>13</v>
      </c>
      <c r="F79" s="2">
        <v>46083.512499999997</v>
      </c>
      <c r="G79" s="2">
        <v>46083.533333333333</v>
      </c>
      <c r="H79" s="2">
        <v>46083.551388888889</v>
      </c>
      <c r="I79" s="2">
        <v>46083.644444444442</v>
      </c>
      <c r="J79" t="s">
        <v>20</v>
      </c>
      <c r="K79" s="3">
        <f>(G79-F79)*1440</f>
        <v>30.00000000349246</v>
      </c>
      <c r="L79" s="3">
        <f>(H79-G79)*1440</f>
        <v>26.000000000931323</v>
      </c>
      <c r="M79" s="3">
        <f>(I79-H79)*1440</f>
        <v>133.99999999674037</v>
      </c>
      <c r="N79" s="3">
        <f>(I79-F79)*1440</f>
        <v>190.00000000116415</v>
      </c>
      <c r="O79" t="str">
        <f>IF(OR(K79&lt;0,L79&lt;0,M79&lt;0,N79&lt;0),"Check","OK")</f>
        <v>OK</v>
      </c>
    </row>
    <row r="80" spans="1:15" x14ac:dyDescent="0.25">
      <c r="A80" t="s">
        <v>118</v>
      </c>
      <c r="B80" s="1" t="s">
        <v>53</v>
      </c>
      <c r="C80" t="s">
        <v>9</v>
      </c>
      <c r="D80" t="s">
        <v>54</v>
      </c>
      <c r="E80" t="s">
        <v>18</v>
      </c>
      <c r="F80" s="2">
        <v>46085.440972222219</v>
      </c>
      <c r="G80" s="2">
        <v>46085.455555555549</v>
      </c>
      <c r="H80" s="2">
        <v>46085.468055555546</v>
      </c>
      <c r="I80" s="2">
        <v>46085.570833333324</v>
      </c>
      <c r="J80" t="s">
        <v>22</v>
      </c>
      <c r="K80" s="3">
        <f>(G80-F80)*1440</f>
        <v>20.999999995110556</v>
      </c>
      <c r="L80" s="3">
        <f>(H80-G80)*1440</f>
        <v>17.999999995809048</v>
      </c>
      <c r="M80" s="3">
        <f>(I80-H80)*1440</f>
        <v>148.00000000046566</v>
      </c>
      <c r="N80" s="3">
        <f>(I80-F80)*1440</f>
        <v>186.99999999138527</v>
      </c>
      <c r="O80" t="str">
        <f>IF(OR(K80&lt;0,L80&lt;0,M80&lt;0,N80&lt;0),"Check","OK")</f>
        <v>OK</v>
      </c>
    </row>
    <row r="81" spans="1:15" x14ac:dyDescent="0.25">
      <c r="A81" t="s">
        <v>132</v>
      </c>
      <c r="B81" s="1" t="s">
        <v>41</v>
      </c>
      <c r="C81" t="s">
        <v>9</v>
      </c>
      <c r="D81" t="s">
        <v>42</v>
      </c>
      <c r="E81" t="s">
        <v>13</v>
      </c>
      <c r="F81" s="2">
        <v>46087.433333333334</v>
      </c>
      <c r="G81" s="2">
        <v>46087.450694444444</v>
      </c>
      <c r="H81" s="2">
        <v>46087.459027777775</v>
      </c>
      <c r="I81" s="2">
        <v>46087.5625</v>
      </c>
      <c r="J81" t="s">
        <v>22</v>
      </c>
      <c r="K81" s="3">
        <f>(G81-F81)*1440</f>
        <v>24.999999997671694</v>
      </c>
      <c r="L81" s="3">
        <f>(H81-G81)*1440</f>
        <v>11.999999997206032</v>
      </c>
      <c r="M81" s="3">
        <f>(I81-H81)*1440</f>
        <v>149.00000000372529</v>
      </c>
      <c r="N81" s="3">
        <f>(I81-F81)*1440</f>
        <v>185.99999999860302</v>
      </c>
      <c r="O81" t="str">
        <f>IF(OR(K81&lt;0,L81&lt;0,M81&lt;0,N81&lt;0),"Check","OK")</f>
        <v>OK</v>
      </c>
    </row>
    <row r="82" spans="1:15" x14ac:dyDescent="0.25">
      <c r="A82" t="s">
        <v>156</v>
      </c>
      <c r="B82" s="1" t="s">
        <v>41</v>
      </c>
      <c r="C82" t="s">
        <v>9</v>
      </c>
      <c r="D82" t="s">
        <v>42</v>
      </c>
      <c r="E82" t="s">
        <v>16</v>
      </c>
      <c r="F82" s="2">
        <v>46086.62222222222</v>
      </c>
      <c r="G82" s="2">
        <v>46086.641666666663</v>
      </c>
      <c r="H82" s="2">
        <v>46086.647916666661</v>
      </c>
      <c r="I82" s="2">
        <v>46086.750694444439</v>
      </c>
      <c r="J82" t="s">
        <v>20</v>
      </c>
      <c r="K82" s="3">
        <f>(G82-F82)*1440</f>
        <v>27.999999996973202</v>
      </c>
      <c r="L82" s="3">
        <f>(H82-G82)*1440</f>
        <v>8.9999999979045242</v>
      </c>
      <c r="M82" s="3">
        <f>(I82-H82)*1440</f>
        <v>148.00000000046566</v>
      </c>
      <c r="N82" s="3">
        <f>(I82-F82)*1440</f>
        <v>184.99999999534339</v>
      </c>
      <c r="O82" t="str">
        <f>IF(OR(K82&lt;0,L82&lt;0,M82&lt;0,N82&lt;0),"Check","OK")</f>
        <v>OK</v>
      </c>
    </row>
    <row r="83" spans="1:15" x14ac:dyDescent="0.25">
      <c r="A83" t="s">
        <v>75</v>
      </c>
      <c r="B83" s="1" t="s">
        <v>35</v>
      </c>
      <c r="C83" t="s">
        <v>8</v>
      </c>
      <c r="D83" t="s">
        <v>36</v>
      </c>
      <c r="E83" t="s">
        <v>15</v>
      </c>
      <c r="F83" s="2">
        <v>46082.634722222225</v>
      </c>
      <c r="G83" s="2">
        <v>46082.652777777781</v>
      </c>
      <c r="H83" s="2">
        <v>46082.671527777784</v>
      </c>
      <c r="I83" s="2">
        <v>46082.762500000004</v>
      </c>
      <c r="J83" t="s">
        <v>20</v>
      </c>
      <c r="K83" s="3">
        <f>(G83-F83)*1440</f>
        <v>26.000000000931323</v>
      </c>
      <c r="L83" s="3">
        <f>(H83-G83)*1440</f>
        <v>27.000000004190952</v>
      </c>
      <c r="M83" s="3">
        <f>(I83-H83)*1440</f>
        <v>130.99999999743886</v>
      </c>
      <c r="N83" s="3">
        <f>(I83-F83)*1440</f>
        <v>184.00000000256114</v>
      </c>
      <c r="O83" t="str">
        <f>IF(OR(K83&lt;0,L83&lt;0,M83&lt;0,N83&lt;0),"Check","OK")</f>
        <v>OK</v>
      </c>
    </row>
    <row r="84" spans="1:15" x14ac:dyDescent="0.25">
      <c r="A84" t="s">
        <v>141</v>
      </c>
      <c r="B84" s="1" t="s">
        <v>41</v>
      </c>
      <c r="C84" t="s">
        <v>9</v>
      </c>
      <c r="D84" t="s">
        <v>42</v>
      </c>
      <c r="E84" t="s">
        <v>13</v>
      </c>
      <c r="F84" s="2">
        <v>46088.820833333331</v>
      </c>
      <c r="G84" s="2">
        <v>46088.834722222222</v>
      </c>
      <c r="H84" s="2">
        <v>46088.848611111112</v>
      </c>
      <c r="I84" s="2">
        <v>46088.948611111111</v>
      </c>
      <c r="J84" t="s">
        <v>20</v>
      </c>
      <c r="K84" s="3">
        <f>(G84-F84)*1440</f>
        <v>20.000000002328306</v>
      </c>
      <c r="L84" s="3">
        <f>(H84-G84)*1440</f>
        <v>20.000000002328306</v>
      </c>
      <c r="M84" s="3">
        <f>(I84-H84)*1440</f>
        <v>143.99999999790452</v>
      </c>
      <c r="N84" s="3">
        <f>(I84-F84)*1440</f>
        <v>184.00000000256114</v>
      </c>
      <c r="O84" t="str">
        <f>IF(OR(K84&lt;0,L84&lt;0,M84&lt;0,N84&lt;0),"Check","OK")</f>
        <v>OK</v>
      </c>
    </row>
    <row r="85" spans="1:15" x14ac:dyDescent="0.25">
      <c r="A85" t="s">
        <v>236</v>
      </c>
      <c r="B85" s="1" t="s">
        <v>53</v>
      </c>
      <c r="C85" t="s">
        <v>9</v>
      </c>
      <c r="D85" t="s">
        <v>54</v>
      </c>
      <c r="E85" t="s">
        <v>18</v>
      </c>
      <c r="F85" s="2">
        <v>46085.805555555555</v>
      </c>
      <c r="G85" s="2">
        <v>46085.822916666664</v>
      </c>
      <c r="H85" s="2">
        <v>46085.843055555553</v>
      </c>
      <c r="I85" s="2">
        <v>46085.932638888888</v>
      </c>
      <c r="J85" t="s">
        <v>20</v>
      </c>
      <c r="K85" s="3">
        <f>(G85-F85)*1440</f>
        <v>24.999999997671694</v>
      </c>
      <c r="L85" s="3">
        <f>(H85-G85)*1440</f>
        <v>29.000000000232831</v>
      </c>
      <c r="M85" s="3">
        <f>(I85-H85)*1440</f>
        <v>129.00000000139698</v>
      </c>
      <c r="N85" s="3">
        <f>(I85-F85)*1440</f>
        <v>182.99999999930151</v>
      </c>
      <c r="O85" t="str">
        <f>IF(OR(K85&lt;0,L85&lt;0,M85&lt;0,N85&lt;0),"Check","OK")</f>
        <v>OK</v>
      </c>
    </row>
    <row r="86" spans="1:15" x14ac:dyDescent="0.25">
      <c r="A86" t="s">
        <v>56</v>
      </c>
      <c r="B86" s="1" t="s">
        <v>41</v>
      </c>
      <c r="C86" t="s">
        <v>9</v>
      </c>
      <c r="D86" t="s">
        <v>42</v>
      </c>
      <c r="E86" t="s">
        <v>16</v>
      </c>
      <c r="F86" s="2">
        <v>46083.25277777778</v>
      </c>
      <c r="G86" s="2">
        <v>46083.260416666672</v>
      </c>
      <c r="H86" s="2">
        <v>46083.281250000007</v>
      </c>
      <c r="I86" s="2">
        <v>46083.378472222226</v>
      </c>
      <c r="J86" t="s">
        <v>22</v>
      </c>
      <c r="K86" s="3">
        <f>(G86-F86)*1440</f>
        <v>11.000000004423782</v>
      </c>
      <c r="L86" s="3">
        <f>(H86-G86)*1440</f>
        <v>30.00000000349246</v>
      </c>
      <c r="M86" s="3">
        <f>(I86-H86)*1440</f>
        <v>139.99999999534339</v>
      </c>
      <c r="N86" s="3">
        <f>(I86-F86)*1440</f>
        <v>181.00000000325963</v>
      </c>
      <c r="O86" t="str">
        <f>IF(OR(K86&lt;0,L86&lt;0,M86&lt;0,N86&lt;0),"Check","OK")</f>
        <v>OK</v>
      </c>
    </row>
    <row r="87" spans="1:15" x14ac:dyDescent="0.25">
      <c r="A87" t="s">
        <v>111</v>
      </c>
      <c r="B87" s="1" t="s">
        <v>53</v>
      </c>
      <c r="C87" t="s">
        <v>9</v>
      </c>
      <c r="D87" t="s">
        <v>54</v>
      </c>
      <c r="E87" t="s">
        <v>17</v>
      </c>
      <c r="F87" s="2">
        <v>46083.880555555559</v>
      </c>
      <c r="G87" s="2">
        <v>46083.900694444448</v>
      </c>
      <c r="H87" s="2">
        <v>46083.917361111118</v>
      </c>
      <c r="I87" s="2">
        <v>46084.006250000006</v>
      </c>
      <c r="J87" t="s">
        <v>22</v>
      </c>
      <c r="K87" s="3">
        <f>(G87-F87)*1440</f>
        <v>29.000000000232831</v>
      </c>
      <c r="L87" s="3">
        <f>(H87-G87)*1440</f>
        <v>24.000000004889444</v>
      </c>
      <c r="M87" s="3">
        <f>(I87-H87)*1440</f>
        <v>127.99999999813735</v>
      </c>
      <c r="N87" s="3">
        <f>(I87-F87)*1440</f>
        <v>181.00000000325963</v>
      </c>
      <c r="O87" t="str">
        <f>IF(OR(K87&lt;0,L87&lt;0,M87&lt;0,N87&lt;0),"Check","OK")</f>
        <v>OK</v>
      </c>
    </row>
    <row r="88" spans="1:15" x14ac:dyDescent="0.25">
      <c r="A88" t="s">
        <v>153</v>
      </c>
      <c r="B88" s="1" t="s">
        <v>70</v>
      </c>
      <c r="C88" t="s">
        <v>8</v>
      </c>
      <c r="D88" t="s">
        <v>47</v>
      </c>
      <c r="E88" t="s">
        <v>14</v>
      </c>
      <c r="F88" s="2">
        <v>46082.605555555558</v>
      </c>
      <c r="G88" s="2">
        <v>46082.612500000003</v>
      </c>
      <c r="H88" s="2">
        <v>46082.630555555559</v>
      </c>
      <c r="I88" s="2">
        <v>46082.731250000004</v>
      </c>
      <c r="J88" t="s">
        <v>20</v>
      </c>
      <c r="K88" s="3">
        <f>(G88-F88)*1440</f>
        <v>10.000000001164153</v>
      </c>
      <c r="L88" s="3">
        <f>(H88-G88)*1440</f>
        <v>26.000000000931323</v>
      </c>
      <c r="M88" s="3">
        <f>(I88-H88)*1440</f>
        <v>145.00000000116415</v>
      </c>
      <c r="N88" s="3">
        <f>(I88-F88)*1440</f>
        <v>181.00000000325963</v>
      </c>
      <c r="O88" t="str">
        <f>IF(OR(K88&lt;0,L88&lt;0,M88&lt;0,N88&lt;0),"Check","OK")</f>
        <v>OK</v>
      </c>
    </row>
    <row r="89" spans="1:15" x14ac:dyDescent="0.25">
      <c r="A89" t="s">
        <v>180</v>
      </c>
      <c r="B89" s="1" t="s">
        <v>70</v>
      </c>
      <c r="C89" t="s">
        <v>8</v>
      </c>
      <c r="D89" t="s">
        <v>47</v>
      </c>
      <c r="E89" t="s">
        <v>14</v>
      </c>
      <c r="F89" s="2">
        <v>46087.506249999999</v>
      </c>
      <c r="G89" s="2">
        <v>46087.511805555558</v>
      </c>
      <c r="H89" s="2">
        <v>46087.527777777781</v>
      </c>
      <c r="I89" s="2">
        <v>46087.629861111112</v>
      </c>
      <c r="J89" t="s">
        <v>20</v>
      </c>
      <c r="K89" s="3">
        <f>(G89-F89)*1440</f>
        <v>8.0000000051222742</v>
      </c>
      <c r="L89" s="3">
        <f>(H89-G89)*1440</f>
        <v>23.000000001629815</v>
      </c>
      <c r="M89" s="3">
        <f>(I89-H89)*1440</f>
        <v>146.99999999720603</v>
      </c>
      <c r="N89" s="3">
        <f>(I89-F89)*1440</f>
        <v>178.00000000395812</v>
      </c>
      <c r="O89" t="str">
        <f>IF(OR(K89&lt;0,L89&lt;0,M89&lt;0,N89&lt;0),"Check","OK")</f>
        <v>OK</v>
      </c>
    </row>
    <row r="90" spans="1:15" x14ac:dyDescent="0.25">
      <c r="A90" t="s">
        <v>234</v>
      </c>
      <c r="B90" s="1" t="s">
        <v>41</v>
      </c>
      <c r="C90" t="s">
        <v>9</v>
      </c>
      <c r="D90" t="s">
        <v>42</v>
      </c>
      <c r="E90" t="s">
        <v>16</v>
      </c>
      <c r="F90" s="2">
        <v>46084.316666666666</v>
      </c>
      <c r="G90" s="2">
        <v>46084.337500000001</v>
      </c>
      <c r="H90" s="2">
        <v>46084.352777777778</v>
      </c>
      <c r="I90" s="2">
        <v>46084.44027777778</v>
      </c>
      <c r="J90" t="s">
        <v>22</v>
      </c>
      <c r="K90" s="3">
        <f>(G90-F90)*1440</f>
        <v>30.00000000349246</v>
      </c>
      <c r="L90" s="3">
        <f>(H90-G90)*1440</f>
        <v>21.999999998370185</v>
      </c>
      <c r="M90" s="3">
        <f>(I90-H90)*1440</f>
        <v>126.00000000209548</v>
      </c>
      <c r="N90" s="3">
        <f>(I90-F90)*1440</f>
        <v>178.00000000395812</v>
      </c>
      <c r="O90" t="str">
        <f>IF(OR(K90&lt;0,L90&lt;0,M90&lt;0,N90&lt;0),"Check","OK")</f>
        <v>OK</v>
      </c>
    </row>
    <row r="91" spans="1:15" x14ac:dyDescent="0.25">
      <c r="A91" t="s">
        <v>173</v>
      </c>
      <c r="B91" s="1" t="s">
        <v>70</v>
      </c>
      <c r="C91" t="s">
        <v>8</v>
      </c>
      <c r="D91" t="s">
        <v>47</v>
      </c>
      <c r="E91" t="s">
        <v>14</v>
      </c>
      <c r="F91" s="2">
        <v>46085.654166666667</v>
      </c>
      <c r="G91" s="2">
        <v>46085.664583333331</v>
      </c>
      <c r="H91" s="2">
        <v>46085.669444444444</v>
      </c>
      <c r="I91" s="2">
        <v>46085.777777777774</v>
      </c>
      <c r="J91" t="s">
        <v>20</v>
      </c>
      <c r="K91" s="3">
        <f>(G91-F91)*1440</f>
        <v>14.99999999650754</v>
      </c>
      <c r="L91" s="3">
        <f>(H91-G91)*1440</f>
        <v>7.0000000018626451</v>
      </c>
      <c r="M91" s="3">
        <f>(I91-H91)*1440</f>
        <v>155.99999999511056</v>
      </c>
      <c r="N91" s="3">
        <f>(I91-F91)*1440</f>
        <v>177.99999999348074</v>
      </c>
      <c r="O91" t="str">
        <f>IF(OR(K91&lt;0,L91&lt;0,M91&lt;0,N91&lt;0),"Check","OK")</f>
        <v>OK</v>
      </c>
    </row>
    <row r="92" spans="1:15" x14ac:dyDescent="0.25">
      <c r="A92" t="s">
        <v>144</v>
      </c>
      <c r="B92" s="1" t="s">
        <v>41</v>
      </c>
      <c r="C92" t="s">
        <v>9</v>
      </c>
      <c r="D92" t="s">
        <v>42</v>
      </c>
      <c r="E92" t="s">
        <v>13</v>
      </c>
      <c r="F92" s="2">
        <v>46083.372916666667</v>
      </c>
      <c r="G92" s="2">
        <v>46083.392361111109</v>
      </c>
      <c r="H92" s="2">
        <v>46083.396527777775</v>
      </c>
      <c r="I92" s="2">
        <v>46083.495833333334</v>
      </c>
      <c r="J92" t="s">
        <v>22</v>
      </c>
      <c r="K92" s="3">
        <f>(G92-F92)*1440</f>
        <v>27.999999996973202</v>
      </c>
      <c r="L92" s="3">
        <f>(H92-G92)*1440</f>
        <v>5.9999999986030161</v>
      </c>
      <c r="M92" s="3">
        <f>(I92-H92)*1440</f>
        <v>143.00000000512227</v>
      </c>
      <c r="N92" s="3">
        <f>(I92-F92)*1440</f>
        <v>177.00000000069849</v>
      </c>
      <c r="O92" t="str">
        <f>IF(OR(K92&lt;0,L92&lt;0,M92&lt;0,N92&lt;0),"Check","OK")</f>
        <v>OK</v>
      </c>
    </row>
    <row r="93" spans="1:15" x14ac:dyDescent="0.25">
      <c r="A93" t="s">
        <v>88</v>
      </c>
      <c r="B93" s="1" t="s">
        <v>35</v>
      </c>
      <c r="C93" t="s">
        <v>8</v>
      </c>
      <c r="D93" t="s">
        <v>36</v>
      </c>
      <c r="E93" t="s">
        <v>15</v>
      </c>
      <c r="F93" s="2">
        <v>46087.670138888891</v>
      </c>
      <c r="G93" s="2">
        <v>46087.680555555555</v>
      </c>
      <c r="H93" s="2">
        <v>46087.697222222225</v>
      </c>
      <c r="I93" s="2">
        <v>46087.792361111111</v>
      </c>
      <c r="J93" t="s">
        <v>20</v>
      </c>
      <c r="K93" s="3">
        <f>(G93-F93)*1440</f>
        <v>14.99999999650754</v>
      </c>
      <c r="L93" s="3">
        <f>(H93-G93)*1440</f>
        <v>24.000000004889444</v>
      </c>
      <c r="M93" s="3">
        <f>(I93-H93)*1440</f>
        <v>136.99999999604188</v>
      </c>
      <c r="N93" s="3">
        <f>(I93-F93)*1440</f>
        <v>175.99999999743886</v>
      </c>
      <c r="O93" t="str">
        <f>IF(OR(K93&lt;0,L93&lt;0,M93&lt;0,N93&lt;0),"Check","OK")</f>
        <v>OK</v>
      </c>
    </row>
    <row r="94" spans="1:15" x14ac:dyDescent="0.25">
      <c r="A94" t="s">
        <v>224</v>
      </c>
      <c r="B94" s="1" t="s">
        <v>53</v>
      </c>
      <c r="C94" t="s">
        <v>9</v>
      </c>
      <c r="D94" t="s">
        <v>54</v>
      </c>
      <c r="E94" t="s">
        <v>17</v>
      </c>
      <c r="F94" s="2">
        <v>46087.326388888891</v>
      </c>
      <c r="G94" s="2">
        <v>46087.340277777781</v>
      </c>
      <c r="H94" s="2">
        <v>46087.356944444451</v>
      </c>
      <c r="I94" s="2">
        <v>46087.447222222232</v>
      </c>
      <c r="J94" t="s">
        <v>22</v>
      </c>
      <c r="K94" s="3">
        <f>(G94-F94)*1440</f>
        <v>20.000000002328306</v>
      </c>
      <c r="L94" s="3">
        <f>(H94-G94)*1440</f>
        <v>24.000000004889444</v>
      </c>
      <c r="M94" s="3">
        <f>(I94-H94)*1440</f>
        <v>130.00000000465661</v>
      </c>
      <c r="N94" s="3">
        <f>(I94-F94)*1440</f>
        <v>174.00000001187436</v>
      </c>
      <c r="O94" t="str">
        <f>IF(OR(K94&lt;0,L94&lt;0,M94&lt;0,N94&lt;0),"Check","OK")</f>
        <v>OK</v>
      </c>
    </row>
    <row r="95" spans="1:15" x14ac:dyDescent="0.25">
      <c r="A95" t="s">
        <v>167</v>
      </c>
      <c r="B95" s="1" t="s">
        <v>41</v>
      </c>
      <c r="C95" t="s">
        <v>9</v>
      </c>
      <c r="D95" t="s">
        <v>42</v>
      </c>
      <c r="E95" t="s">
        <v>13</v>
      </c>
      <c r="F95" s="2">
        <v>46085.594444444447</v>
      </c>
      <c r="G95" s="2">
        <v>46085.609722222223</v>
      </c>
      <c r="H95" s="2">
        <v>46085.628472222226</v>
      </c>
      <c r="I95" s="2">
        <v>46085.714583333334</v>
      </c>
      <c r="J95" t="s">
        <v>20</v>
      </c>
      <c r="K95" s="3">
        <f>(G95-F95)*1440</f>
        <v>21.999999998370185</v>
      </c>
      <c r="L95" s="3">
        <f>(H95-G95)*1440</f>
        <v>27.000000004190952</v>
      </c>
      <c r="M95" s="3">
        <f>(I95-H95)*1440</f>
        <v>123.99999999557622</v>
      </c>
      <c r="N95" s="3">
        <f>(I95-F95)*1440</f>
        <v>172.99999999813735</v>
      </c>
      <c r="O95" t="str">
        <f>IF(OR(K95&lt;0,L95&lt;0,M95&lt;0,N95&lt;0),"Check","OK")</f>
        <v>OK</v>
      </c>
    </row>
    <row r="96" spans="1:15" x14ac:dyDescent="0.25">
      <c r="A96" t="s">
        <v>212</v>
      </c>
      <c r="B96" s="1" t="s">
        <v>53</v>
      </c>
      <c r="C96" t="s">
        <v>9</v>
      </c>
      <c r="D96" t="s">
        <v>54</v>
      </c>
      <c r="E96" t="s">
        <v>17</v>
      </c>
      <c r="F96" s="2">
        <v>46082.370138888888</v>
      </c>
      <c r="G96" s="2">
        <v>46082.377083333333</v>
      </c>
      <c r="H96" s="2">
        <v>46082.388888888891</v>
      </c>
      <c r="I96" s="2">
        <v>46082.488888888889</v>
      </c>
      <c r="J96" t="s">
        <v>22</v>
      </c>
      <c r="K96" s="3">
        <f>(G96-F96)*1440</f>
        <v>10.000000001164153</v>
      </c>
      <c r="L96" s="3">
        <f>(H96-G96)*1440</f>
        <v>17.000000003026798</v>
      </c>
      <c r="M96" s="3">
        <f>(I96-H96)*1440</f>
        <v>143.99999999790452</v>
      </c>
      <c r="N96" s="3">
        <f>(I96-F96)*1440</f>
        <v>171.00000000209548</v>
      </c>
      <c r="O96" t="str">
        <f>IF(OR(K96&lt;0,L96&lt;0,M96&lt;0,N96&lt;0),"Check","OK")</f>
        <v>OK</v>
      </c>
    </row>
    <row r="97" spans="1:15" x14ac:dyDescent="0.25">
      <c r="A97" t="s">
        <v>83</v>
      </c>
      <c r="B97" s="1" t="s">
        <v>35</v>
      </c>
      <c r="C97" t="s">
        <v>8</v>
      </c>
      <c r="D97" t="s">
        <v>36</v>
      </c>
      <c r="E97" t="s">
        <v>17</v>
      </c>
      <c r="F97" s="2">
        <v>46083.259722222225</v>
      </c>
      <c r="G97" s="2">
        <v>46083.279166666667</v>
      </c>
      <c r="H97" s="2">
        <v>46083.285416666666</v>
      </c>
      <c r="I97" s="2">
        <v>46083.378472222219</v>
      </c>
      <c r="J97" t="s">
        <v>22</v>
      </c>
      <c r="K97" s="3">
        <f>(G97-F97)*1440</f>
        <v>27.999999996973202</v>
      </c>
      <c r="L97" s="3">
        <f>(H97-G97)*1440</f>
        <v>8.9999999979045242</v>
      </c>
      <c r="M97" s="3">
        <f>(I97-H97)*1440</f>
        <v>133.99999999674037</v>
      </c>
      <c r="N97" s="3">
        <f>(I97-F97)*1440</f>
        <v>170.9999999916181</v>
      </c>
      <c r="O97" t="str">
        <f>IF(OR(K97&lt;0,L97&lt;0,M97&lt;0,N97&lt;0),"Check","OK")</f>
        <v>OK</v>
      </c>
    </row>
    <row r="98" spans="1:15" x14ac:dyDescent="0.25">
      <c r="A98" t="s">
        <v>240</v>
      </c>
      <c r="B98" s="1" t="s">
        <v>53</v>
      </c>
      <c r="C98" t="s">
        <v>9</v>
      </c>
      <c r="D98" t="s">
        <v>54</v>
      </c>
      <c r="E98" t="s">
        <v>18</v>
      </c>
      <c r="F98" s="2">
        <v>46082.711805555555</v>
      </c>
      <c r="G98" s="2">
        <v>46082.720138888886</v>
      </c>
      <c r="H98" s="2">
        <v>46082.727083333331</v>
      </c>
      <c r="I98" s="2">
        <v>46082.829166666663</v>
      </c>
      <c r="J98" t="s">
        <v>20</v>
      </c>
      <c r="K98" s="3">
        <f>(G98-F98)*1440</f>
        <v>11.999999997206032</v>
      </c>
      <c r="L98" s="3">
        <f>(H98-G98)*1440</f>
        <v>10.000000001164153</v>
      </c>
      <c r="M98" s="3">
        <f>(I98-H98)*1440</f>
        <v>146.99999999720603</v>
      </c>
      <c r="N98" s="3">
        <f>(I98-F98)*1440</f>
        <v>168.99999999557622</v>
      </c>
      <c r="O98" t="str">
        <f>IF(OR(K98&lt;0,L98&lt;0,M98&lt;0,N98&lt;0),"Check","OK")</f>
        <v>OK</v>
      </c>
    </row>
    <row r="99" spans="1:15" x14ac:dyDescent="0.25">
      <c r="A99" t="s">
        <v>243</v>
      </c>
      <c r="B99" s="1" t="s">
        <v>41</v>
      </c>
      <c r="C99" t="s">
        <v>9</v>
      </c>
      <c r="D99" t="s">
        <v>42</v>
      </c>
      <c r="E99" t="s">
        <v>16</v>
      </c>
      <c r="F99" s="2">
        <v>46083.606249999997</v>
      </c>
      <c r="G99" s="2">
        <v>46083.623611111107</v>
      </c>
      <c r="H99" s="2">
        <v>46083.637499999997</v>
      </c>
      <c r="I99" s="2">
        <v>46083.723611111105</v>
      </c>
      <c r="J99" t="s">
        <v>20</v>
      </c>
      <c r="K99" s="3">
        <f>(G99-F99)*1440</f>
        <v>24.999999997671694</v>
      </c>
      <c r="L99" s="3">
        <f>(H99-G99)*1440</f>
        <v>20.000000002328306</v>
      </c>
      <c r="M99" s="3">
        <f>(I99-H99)*1440</f>
        <v>123.99999999557622</v>
      </c>
      <c r="N99" s="3">
        <f>(I99-F99)*1440</f>
        <v>168.99999999557622</v>
      </c>
      <c r="O99" t="str">
        <f>IF(OR(K99&lt;0,L99&lt;0,M99&lt;0,N99&lt;0),"Check","OK")</f>
        <v>OK</v>
      </c>
    </row>
    <row r="100" spans="1:15" x14ac:dyDescent="0.25">
      <c r="A100" t="s">
        <v>108</v>
      </c>
      <c r="B100" s="1" t="s">
        <v>70</v>
      </c>
      <c r="C100" t="s">
        <v>8</v>
      </c>
      <c r="D100" t="s">
        <v>47</v>
      </c>
      <c r="E100" t="s">
        <v>14</v>
      </c>
      <c r="F100" s="2">
        <v>46087.642361111109</v>
      </c>
      <c r="G100" s="2">
        <v>46087.658333333333</v>
      </c>
      <c r="H100" s="2">
        <v>46087.668749999997</v>
      </c>
      <c r="I100" s="2">
        <v>46087.759027777778</v>
      </c>
      <c r="J100" t="s">
        <v>20</v>
      </c>
      <c r="K100" s="3">
        <f>(G100-F100)*1440</f>
        <v>23.000000001629815</v>
      </c>
      <c r="L100" s="3">
        <f>(H100-G100)*1440</f>
        <v>14.99999999650754</v>
      </c>
      <c r="M100" s="3">
        <f>(I100-H100)*1440</f>
        <v>130.00000000465661</v>
      </c>
      <c r="N100" s="3">
        <f>(I100-F100)*1440</f>
        <v>168.00000000279397</v>
      </c>
      <c r="O100" t="str">
        <f>IF(OR(K100&lt;0,L100&lt;0,M100&lt;0,N100&lt;0),"Check","OK")</f>
        <v>OK</v>
      </c>
    </row>
    <row r="101" spans="1:15" x14ac:dyDescent="0.25">
      <c r="A101" t="s">
        <v>55</v>
      </c>
      <c r="B101" s="1" t="s">
        <v>41</v>
      </c>
      <c r="C101" t="s">
        <v>9</v>
      </c>
      <c r="D101" t="s">
        <v>42</v>
      </c>
      <c r="E101" t="s">
        <v>16</v>
      </c>
      <c r="F101" s="2">
        <v>46083.638888888891</v>
      </c>
      <c r="G101" s="2">
        <v>46083.647916666669</v>
      </c>
      <c r="H101" s="2">
        <v>46083.653472222228</v>
      </c>
      <c r="I101" s="2">
        <v>46083.75486111112</v>
      </c>
      <c r="J101" t="s">
        <v>20</v>
      </c>
      <c r="K101" s="3">
        <f>(G101-F101)*1440</f>
        <v>13.000000000465661</v>
      </c>
      <c r="L101" s="3">
        <f>(H101-G101)*1440</f>
        <v>8.0000000051222742</v>
      </c>
      <c r="M101" s="3">
        <f>(I101-H101)*1440</f>
        <v>146.00000000442378</v>
      </c>
      <c r="N101" s="3">
        <f>(I101-F101)*1440</f>
        <v>167.00000001001172</v>
      </c>
      <c r="O101" t="str">
        <f>IF(OR(K101&lt;0,L101&lt;0,M101&lt;0,N101&lt;0),"Check","OK")</f>
        <v>OK</v>
      </c>
    </row>
    <row r="102" spans="1:15" x14ac:dyDescent="0.25">
      <c r="A102" t="s">
        <v>242</v>
      </c>
      <c r="B102" s="1" t="s">
        <v>41</v>
      </c>
      <c r="C102" t="s">
        <v>9</v>
      </c>
      <c r="D102" t="s">
        <v>42</v>
      </c>
      <c r="E102" t="s">
        <v>16</v>
      </c>
      <c r="F102" s="2">
        <v>46084.645138888889</v>
      </c>
      <c r="G102" s="2">
        <v>46084.662499999999</v>
      </c>
      <c r="H102" s="2">
        <v>46084.679861111108</v>
      </c>
      <c r="I102" s="2">
        <v>46084.760416666664</v>
      </c>
      <c r="J102" t="s">
        <v>20</v>
      </c>
      <c r="K102" s="3">
        <f>(G102-F102)*1440</f>
        <v>24.999999997671694</v>
      </c>
      <c r="L102" s="3">
        <f>(H102-G102)*1440</f>
        <v>24.999999997671694</v>
      </c>
      <c r="M102" s="3">
        <f>(I102-H102)*1440</f>
        <v>116.00000000093132</v>
      </c>
      <c r="N102" s="3">
        <f>(I102-F102)*1440</f>
        <v>165.99999999627471</v>
      </c>
      <c r="O102" t="str">
        <f>IF(OR(K102&lt;0,L102&lt;0,M102&lt;0,N102&lt;0),"Check","OK")</f>
        <v>OK</v>
      </c>
    </row>
    <row r="103" spans="1:15" x14ac:dyDescent="0.25">
      <c r="A103" t="s">
        <v>65</v>
      </c>
      <c r="B103" s="1" t="s">
        <v>53</v>
      </c>
      <c r="C103" t="s">
        <v>9</v>
      </c>
      <c r="D103" t="s">
        <v>54</v>
      </c>
      <c r="E103" t="s">
        <v>17</v>
      </c>
      <c r="F103" s="2">
        <v>46088.807638888888</v>
      </c>
      <c r="G103" s="2">
        <v>46088.826388888891</v>
      </c>
      <c r="H103" s="2">
        <v>46088.831250000003</v>
      </c>
      <c r="I103" s="2">
        <v>46088.921527777784</v>
      </c>
      <c r="J103" t="s">
        <v>20</v>
      </c>
      <c r="K103" s="3">
        <f>(G103-F103)*1440</f>
        <v>27.000000004190952</v>
      </c>
      <c r="L103" s="3">
        <f>(H103-G103)*1440</f>
        <v>7.0000000018626451</v>
      </c>
      <c r="M103" s="3">
        <f>(I103-H103)*1440</f>
        <v>130.00000000465661</v>
      </c>
      <c r="N103" s="3">
        <f>(I103-F103)*1440</f>
        <v>164.00000001071021</v>
      </c>
      <c r="O103" t="str">
        <f>IF(OR(K103&lt;0,L103&lt;0,M103&lt;0,N103&lt;0),"Check","OK")</f>
        <v>OK</v>
      </c>
    </row>
    <row r="104" spans="1:15" x14ac:dyDescent="0.25">
      <c r="A104" t="s">
        <v>101</v>
      </c>
      <c r="B104" s="1" t="s">
        <v>35</v>
      </c>
      <c r="C104" t="s">
        <v>8</v>
      </c>
      <c r="D104" t="s">
        <v>36</v>
      </c>
      <c r="E104" t="s">
        <v>17</v>
      </c>
      <c r="F104" s="2">
        <v>46083.447222222225</v>
      </c>
      <c r="G104" s="2">
        <v>46083.452777777784</v>
      </c>
      <c r="H104" s="2">
        <v>46083.45694444445</v>
      </c>
      <c r="I104" s="2">
        <v>46083.561111111114</v>
      </c>
      <c r="J104" t="s">
        <v>22</v>
      </c>
      <c r="K104" s="3">
        <f>(G104-F104)*1440</f>
        <v>8.0000000051222742</v>
      </c>
      <c r="L104" s="3">
        <f>(H104-G104)*1440</f>
        <v>5.9999999986030161</v>
      </c>
      <c r="M104" s="3">
        <f>(I104-H104)*1440</f>
        <v>149.99999999650754</v>
      </c>
      <c r="N104" s="3">
        <f>(I104-F104)*1440</f>
        <v>164.00000000023283</v>
      </c>
      <c r="O104" t="str">
        <f>IF(OR(K104&lt;0,L104&lt;0,M104&lt;0,N104&lt;0),"Check","OK")</f>
        <v>OK</v>
      </c>
    </row>
    <row r="105" spans="1:15" x14ac:dyDescent="0.25">
      <c r="A105" t="s">
        <v>123</v>
      </c>
      <c r="B105" s="1" t="s">
        <v>41</v>
      </c>
      <c r="C105" t="s">
        <v>9</v>
      </c>
      <c r="D105" t="s">
        <v>42</v>
      </c>
      <c r="E105" t="s">
        <v>13</v>
      </c>
      <c r="F105" s="2">
        <v>46084.886805555558</v>
      </c>
      <c r="G105" s="2">
        <v>46084.903472222228</v>
      </c>
      <c r="H105" s="2">
        <v>46084.918055555558</v>
      </c>
      <c r="I105" s="2">
        <v>46085</v>
      </c>
      <c r="J105" t="s">
        <v>22</v>
      </c>
      <c r="K105" s="3">
        <f>(G105-F105)*1440</f>
        <v>24.000000004889444</v>
      </c>
      <c r="L105" s="3">
        <f>(H105-G105)*1440</f>
        <v>20.999999995110556</v>
      </c>
      <c r="M105" s="3">
        <f>(I105-H105)*1440</f>
        <v>117.9999999969732</v>
      </c>
      <c r="N105" s="3">
        <f>(I105-F105)*1440</f>
        <v>162.9999999969732</v>
      </c>
      <c r="O105" t="str">
        <f>IF(OR(K105&lt;0,L105&lt;0,M105&lt;0,N105&lt;0),"Check","OK")</f>
        <v>OK</v>
      </c>
    </row>
    <row r="106" spans="1:15" x14ac:dyDescent="0.25">
      <c r="A106" t="s">
        <v>187</v>
      </c>
      <c r="B106" s="1" t="s">
        <v>41</v>
      </c>
      <c r="C106" t="s">
        <v>9</v>
      </c>
      <c r="D106" t="s">
        <v>42</v>
      </c>
      <c r="E106" t="s">
        <v>13</v>
      </c>
      <c r="F106" s="2">
        <v>46087.823611111111</v>
      </c>
      <c r="G106" s="2">
        <v>46087.834027777775</v>
      </c>
      <c r="H106" s="2">
        <v>46087.838194444441</v>
      </c>
      <c r="I106" s="2">
        <v>46087.936805555553</v>
      </c>
      <c r="J106" t="s">
        <v>20</v>
      </c>
      <c r="K106" s="3">
        <f>(G106-F106)*1440</f>
        <v>14.99999999650754</v>
      </c>
      <c r="L106" s="3">
        <f>(H106-G106)*1440</f>
        <v>5.9999999986030161</v>
      </c>
      <c r="M106" s="3">
        <f>(I106-H106)*1440</f>
        <v>142.00000000186265</v>
      </c>
      <c r="N106" s="3">
        <f>(I106-F106)*1440</f>
        <v>162.9999999969732</v>
      </c>
      <c r="O106" t="str">
        <f>IF(OR(K106&lt;0,L106&lt;0,M106&lt;0,N106&lt;0),"Check","OK")</f>
        <v>OK</v>
      </c>
    </row>
    <row r="107" spans="1:15" x14ac:dyDescent="0.25">
      <c r="A107" t="s">
        <v>76</v>
      </c>
      <c r="B107" s="1" t="s">
        <v>53</v>
      </c>
      <c r="C107" t="s">
        <v>9</v>
      </c>
      <c r="D107" t="s">
        <v>54</v>
      </c>
      <c r="E107" t="s">
        <v>17</v>
      </c>
      <c r="F107" s="2">
        <v>46083.252083333333</v>
      </c>
      <c r="G107" s="2">
        <v>46083.261805555558</v>
      </c>
      <c r="H107" s="2">
        <v>46083.275694444448</v>
      </c>
      <c r="I107" s="2">
        <v>46083.363888888889</v>
      </c>
      <c r="J107" t="s">
        <v>22</v>
      </c>
      <c r="K107" s="3">
        <f>(G107-F107)*1440</f>
        <v>14.00000000372529</v>
      </c>
      <c r="L107" s="3">
        <f>(H107-G107)*1440</f>
        <v>20.000000002328306</v>
      </c>
      <c r="M107" s="3">
        <f>(I107-H107)*1440</f>
        <v>126.99999999487773</v>
      </c>
      <c r="N107" s="3">
        <f>(I107-F107)*1440</f>
        <v>161.00000000093132</v>
      </c>
      <c r="O107" t="str">
        <f>IF(OR(K107&lt;0,L107&lt;0,M107&lt;0,N107&lt;0),"Check","OK")</f>
        <v>OK</v>
      </c>
    </row>
    <row r="108" spans="1:15" x14ac:dyDescent="0.25">
      <c r="A108" t="s">
        <v>203</v>
      </c>
      <c r="B108" s="1" t="s">
        <v>70</v>
      </c>
      <c r="C108" t="s">
        <v>8</v>
      </c>
      <c r="D108" t="s">
        <v>47</v>
      </c>
      <c r="E108" t="s">
        <v>13</v>
      </c>
      <c r="F108" s="2">
        <v>46085.879166666666</v>
      </c>
      <c r="G108" s="2">
        <v>46085.895833333336</v>
      </c>
      <c r="H108" s="2">
        <v>46085.904861111114</v>
      </c>
      <c r="I108" s="2">
        <v>46085.990972222222</v>
      </c>
      <c r="J108" t="s">
        <v>21</v>
      </c>
      <c r="K108" s="3">
        <f>(G108-F108)*1440</f>
        <v>24.000000004889444</v>
      </c>
      <c r="L108" s="3">
        <f>(H108-G108)*1440</f>
        <v>13.000000000465661</v>
      </c>
      <c r="M108" s="3">
        <f>(I108-H108)*1440</f>
        <v>123.99999999557622</v>
      </c>
      <c r="N108" s="3">
        <f>(I108-F108)*1440</f>
        <v>161.00000000093132</v>
      </c>
      <c r="O108" t="str">
        <f>IF(OR(K108&lt;0,L108&lt;0,M108&lt;0,N108&lt;0),"Check","OK")</f>
        <v>OK</v>
      </c>
    </row>
    <row r="109" spans="1:15" x14ac:dyDescent="0.25">
      <c r="A109" t="s">
        <v>73</v>
      </c>
      <c r="B109" s="1" t="s">
        <v>41</v>
      </c>
      <c r="C109" t="s">
        <v>9</v>
      </c>
      <c r="D109" t="s">
        <v>42</v>
      </c>
      <c r="E109" t="s">
        <v>16</v>
      </c>
      <c r="F109" s="2">
        <v>46084.343055555553</v>
      </c>
      <c r="G109" s="2">
        <v>46084.357638888883</v>
      </c>
      <c r="H109" s="2">
        <v>46084.365972222215</v>
      </c>
      <c r="I109" s="2">
        <v>46084.454861111102</v>
      </c>
      <c r="J109" t="s">
        <v>22</v>
      </c>
      <c r="K109" s="3">
        <f>(G109-F109)*1440</f>
        <v>20.999999995110556</v>
      </c>
      <c r="L109" s="3">
        <f>(H109-G109)*1440</f>
        <v>11.999999997206032</v>
      </c>
      <c r="M109" s="3">
        <f>(I109-H109)*1440</f>
        <v>127.99999999813735</v>
      </c>
      <c r="N109" s="3">
        <f>(I109-F109)*1440</f>
        <v>160.99999999045394</v>
      </c>
      <c r="O109" t="str">
        <f>IF(OR(K109&lt;0,L109&lt;0,M109&lt;0,N109&lt;0),"Check","OK")</f>
        <v>OK</v>
      </c>
    </row>
    <row r="110" spans="1:15" x14ac:dyDescent="0.25">
      <c r="A110" t="s">
        <v>164</v>
      </c>
      <c r="B110" s="1" t="s">
        <v>53</v>
      </c>
      <c r="C110" t="s">
        <v>9</v>
      </c>
      <c r="D110" t="s">
        <v>54</v>
      </c>
      <c r="E110" t="s">
        <v>17</v>
      </c>
      <c r="F110" s="2">
        <v>46082.261805555558</v>
      </c>
      <c r="G110" s="2">
        <v>46082.28125</v>
      </c>
      <c r="H110" s="2">
        <v>46082.297222222223</v>
      </c>
      <c r="I110" s="2">
        <v>46082.372916666667</v>
      </c>
      <c r="J110" t="s">
        <v>22</v>
      </c>
      <c r="K110" s="3">
        <f>(G110-F110)*1440</f>
        <v>27.999999996973202</v>
      </c>
      <c r="L110" s="3">
        <f>(H110-G110)*1440</f>
        <v>23.000000001629815</v>
      </c>
      <c r="M110" s="3">
        <f>(I110-H110)*1440</f>
        <v>108.99999999906868</v>
      </c>
      <c r="N110" s="3">
        <f>(I110-F110)*1440</f>
        <v>159.99999999767169</v>
      </c>
      <c r="O110" t="str">
        <f>IF(OR(K110&lt;0,L110&lt;0,M110&lt;0,N110&lt;0),"Check","OK")</f>
        <v>OK</v>
      </c>
    </row>
    <row r="111" spans="1:15" x14ac:dyDescent="0.25">
      <c r="A111" t="s">
        <v>40</v>
      </c>
      <c r="B111" s="1" t="s">
        <v>41</v>
      </c>
      <c r="C111" t="s">
        <v>9</v>
      </c>
      <c r="D111" t="s">
        <v>42</v>
      </c>
      <c r="E111" t="s">
        <v>13</v>
      </c>
      <c r="F111" s="2">
        <v>46085.288194444445</v>
      </c>
      <c r="G111" s="2">
        <v>46085.297222222223</v>
      </c>
      <c r="H111" s="2">
        <v>46085.311805555553</v>
      </c>
      <c r="I111" s="2">
        <v>46085.397916666661</v>
      </c>
      <c r="J111" t="s">
        <v>22</v>
      </c>
      <c r="K111" s="3">
        <f>(G111-F111)*1440</f>
        <v>13.000000000465661</v>
      </c>
      <c r="L111" s="3">
        <f>(H111-G111)*1440</f>
        <v>20.999999995110556</v>
      </c>
      <c r="M111" s="3">
        <f>(I111-H111)*1440</f>
        <v>123.99999999557622</v>
      </c>
      <c r="N111" s="3">
        <f>(I111-F111)*1440</f>
        <v>157.99999999115244</v>
      </c>
      <c r="O111" t="str">
        <f>IF(OR(K111&lt;0,L111&lt;0,M111&lt;0,N111&lt;0),"Check","OK")</f>
        <v>OK</v>
      </c>
    </row>
    <row r="112" spans="1:15" x14ac:dyDescent="0.25">
      <c r="A112" t="s">
        <v>207</v>
      </c>
      <c r="B112" s="1" t="s">
        <v>53</v>
      </c>
      <c r="C112" t="s">
        <v>9</v>
      </c>
      <c r="D112" t="s">
        <v>54</v>
      </c>
      <c r="E112" t="s">
        <v>18</v>
      </c>
      <c r="F112" s="2">
        <v>46083.495833333334</v>
      </c>
      <c r="G112" s="2">
        <v>46083.504861111112</v>
      </c>
      <c r="H112" s="2">
        <v>46083.518750000003</v>
      </c>
      <c r="I112" s="2">
        <v>46083.604861111111</v>
      </c>
      <c r="J112" t="s">
        <v>22</v>
      </c>
      <c r="K112" s="3">
        <f>(G112-F112)*1440</f>
        <v>13.000000000465661</v>
      </c>
      <c r="L112" s="3">
        <f>(H112-G112)*1440</f>
        <v>20.000000002328306</v>
      </c>
      <c r="M112" s="3">
        <f>(I112-H112)*1440</f>
        <v>123.99999999557622</v>
      </c>
      <c r="N112" s="3">
        <f>(I112-F112)*1440</f>
        <v>156.99999999837019</v>
      </c>
      <c r="O112" t="str">
        <f>IF(OR(K112&lt;0,L112&lt;0,M112&lt;0,N112&lt;0),"Check","OK")</f>
        <v>OK</v>
      </c>
    </row>
    <row r="113" spans="1:15" x14ac:dyDescent="0.25">
      <c r="A113" t="s">
        <v>245</v>
      </c>
      <c r="B113" s="1" t="s">
        <v>53</v>
      </c>
      <c r="C113" t="s">
        <v>9</v>
      </c>
      <c r="D113" t="s">
        <v>54</v>
      </c>
      <c r="E113" t="s">
        <v>18</v>
      </c>
      <c r="F113" s="2">
        <v>46083.375694444447</v>
      </c>
      <c r="G113" s="2">
        <v>46083.390277777777</v>
      </c>
      <c r="H113" s="2">
        <v>46083.402777777774</v>
      </c>
      <c r="I113" s="2">
        <v>46083.484722222216</v>
      </c>
      <c r="J113" t="s">
        <v>22</v>
      </c>
      <c r="K113" s="3">
        <f>(G113-F113)*1440</f>
        <v>20.999999995110556</v>
      </c>
      <c r="L113" s="3">
        <f>(H113-G113)*1440</f>
        <v>17.999999995809048</v>
      </c>
      <c r="M113" s="3">
        <f>(I113-H113)*1440</f>
        <v>117.9999999969732</v>
      </c>
      <c r="N113" s="3">
        <f>(I113-F113)*1440</f>
        <v>156.99999998789281</v>
      </c>
      <c r="O113" t="str">
        <f>IF(OR(K113&lt;0,L113&lt;0,M113&lt;0,N113&lt;0),"Check","OK")</f>
        <v>OK</v>
      </c>
    </row>
    <row r="114" spans="1:15" x14ac:dyDescent="0.25">
      <c r="A114" t="s">
        <v>158</v>
      </c>
      <c r="B114" s="1" t="s">
        <v>53</v>
      </c>
      <c r="C114" t="s">
        <v>9</v>
      </c>
      <c r="D114" t="s">
        <v>54</v>
      </c>
      <c r="E114" t="s">
        <v>17</v>
      </c>
      <c r="F114" s="2">
        <v>46087.589583333334</v>
      </c>
      <c r="G114" s="2">
        <v>46087.599305555559</v>
      </c>
      <c r="H114" s="2">
        <v>46087.620138888895</v>
      </c>
      <c r="I114" s="2">
        <v>46087.697916666672</v>
      </c>
      <c r="J114" t="s">
        <v>20</v>
      </c>
      <c r="K114" s="3">
        <f>(G114-F114)*1440</f>
        <v>14.00000000372529</v>
      </c>
      <c r="L114" s="3">
        <f>(H114-G114)*1440</f>
        <v>30.00000000349246</v>
      </c>
      <c r="M114" s="3">
        <f>(I114-H114)*1440</f>
        <v>111.99999999837019</v>
      </c>
      <c r="N114" s="3">
        <f>(I114-F114)*1440</f>
        <v>156.00000000558794</v>
      </c>
      <c r="O114" t="str">
        <f>IF(OR(K114&lt;0,L114&lt;0,M114&lt;0,N114&lt;0),"Check","OK")</f>
        <v>OK</v>
      </c>
    </row>
    <row r="115" spans="1:15" x14ac:dyDescent="0.25">
      <c r="A115" t="s">
        <v>218</v>
      </c>
      <c r="B115" s="1" t="s">
        <v>41</v>
      </c>
      <c r="C115" t="s">
        <v>9</v>
      </c>
      <c r="D115" t="s">
        <v>42</v>
      </c>
      <c r="E115" t="s">
        <v>16</v>
      </c>
      <c r="F115" s="2">
        <v>46083.306250000001</v>
      </c>
      <c r="G115" s="2">
        <v>46083.315972222226</v>
      </c>
      <c r="H115" s="2">
        <v>46083.335416666669</v>
      </c>
      <c r="I115" s="2">
        <v>46083.414583333339</v>
      </c>
      <c r="J115" t="s">
        <v>22</v>
      </c>
      <c r="K115" s="3">
        <f>(G115-F115)*1440</f>
        <v>14.00000000372529</v>
      </c>
      <c r="L115" s="3">
        <f>(H115-G115)*1440</f>
        <v>27.999999996973202</v>
      </c>
      <c r="M115" s="3">
        <f>(I115-H115)*1440</f>
        <v>114.00000000488944</v>
      </c>
      <c r="N115" s="3">
        <f>(I115-F115)*1440</f>
        <v>156.00000000558794</v>
      </c>
      <c r="O115" t="str">
        <f>IF(OR(K115&lt;0,L115&lt;0,M115&lt;0,N115&lt;0),"Check","OK")</f>
        <v>OK</v>
      </c>
    </row>
    <row r="116" spans="1:15" x14ac:dyDescent="0.25">
      <c r="A116" t="s">
        <v>126</v>
      </c>
      <c r="B116" s="1" t="s">
        <v>41</v>
      </c>
      <c r="C116" t="s">
        <v>9</v>
      </c>
      <c r="D116" t="s">
        <v>42</v>
      </c>
      <c r="E116" t="s">
        <v>13</v>
      </c>
      <c r="F116" s="2">
        <v>46082.384722222225</v>
      </c>
      <c r="G116" s="2">
        <v>46082.401388888895</v>
      </c>
      <c r="H116" s="2">
        <v>46082.413194444453</v>
      </c>
      <c r="I116" s="2">
        <v>46082.491666666676</v>
      </c>
      <c r="J116" t="s">
        <v>22</v>
      </c>
      <c r="K116" s="3">
        <f>(G116-F116)*1440</f>
        <v>24.000000004889444</v>
      </c>
      <c r="L116" s="3">
        <f>(H116-G116)*1440</f>
        <v>17.000000003026798</v>
      </c>
      <c r="M116" s="3">
        <f>(I116-H116)*1440</f>
        <v>113.00000000162981</v>
      </c>
      <c r="N116" s="3">
        <f>(I116-F116)*1440</f>
        <v>154.00000000954606</v>
      </c>
      <c r="O116" t="str">
        <f>IF(OR(K116&lt;0,L116&lt;0,M116&lt;0,N116&lt;0),"Check","OK")</f>
        <v>OK</v>
      </c>
    </row>
    <row r="117" spans="1:15" x14ac:dyDescent="0.25">
      <c r="A117" t="s">
        <v>142</v>
      </c>
      <c r="B117" s="1" t="s">
        <v>41</v>
      </c>
      <c r="C117" t="s">
        <v>9</v>
      </c>
      <c r="D117" t="s">
        <v>42</v>
      </c>
      <c r="E117" t="s">
        <v>16</v>
      </c>
      <c r="F117" s="2">
        <v>46082.602777777778</v>
      </c>
      <c r="G117" s="2">
        <v>46082.607638888891</v>
      </c>
      <c r="H117" s="2">
        <v>46082.611111111109</v>
      </c>
      <c r="I117" s="2">
        <v>46082.709722222222</v>
      </c>
      <c r="J117" t="s">
        <v>20</v>
      </c>
      <c r="K117" s="3">
        <f>(G117-F117)*1440</f>
        <v>7.0000000018626451</v>
      </c>
      <c r="L117" s="3">
        <f>(H117-G117)*1440</f>
        <v>4.9999999953433871</v>
      </c>
      <c r="M117" s="3">
        <f>(I117-H117)*1440</f>
        <v>142.00000000186265</v>
      </c>
      <c r="N117" s="3">
        <f>(I117-F117)*1440</f>
        <v>153.99999999906868</v>
      </c>
      <c r="O117" t="str">
        <f>IF(OR(K117&lt;0,L117&lt;0,M117&lt;0,N117&lt;0),"Check","OK")</f>
        <v>OK</v>
      </c>
    </row>
    <row r="118" spans="1:15" x14ac:dyDescent="0.25">
      <c r="A118" t="s">
        <v>139</v>
      </c>
      <c r="B118" s="1" t="s">
        <v>53</v>
      </c>
      <c r="C118" t="s">
        <v>9</v>
      </c>
      <c r="D118" t="s">
        <v>54</v>
      </c>
      <c r="E118" t="s">
        <v>18</v>
      </c>
      <c r="F118" s="2">
        <v>46082.88958333333</v>
      </c>
      <c r="G118" s="2">
        <v>46082.898611111108</v>
      </c>
      <c r="H118" s="2">
        <v>46082.908333333333</v>
      </c>
      <c r="I118" s="2">
        <v>46082.995833333334</v>
      </c>
      <c r="J118" t="s">
        <v>21</v>
      </c>
      <c r="K118" s="3">
        <f>(G118-F118)*1440</f>
        <v>13.000000000465661</v>
      </c>
      <c r="L118" s="3">
        <f>(H118-G118)*1440</f>
        <v>14.00000000372529</v>
      </c>
      <c r="M118" s="3">
        <f>(I118-H118)*1440</f>
        <v>126.00000000209548</v>
      </c>
      <c r="N118" s="3">
        <f>(I118-F118)*1440</f>
        <v>153.00000000628643</v>
      </c>
      <c r="O118" t="str">
        <f>IF(OR(K118&lt;0,L118&lt;0,M118&lt;0,N118&lt;0),"Check","OK")</f>
        <v>OK</v>
      </c>
    </row>
    <row r="119" spans="1:15" x14ac:dyDescent="0.25">
      <c r="A119" t="s">
        <v>171</v>
      </c>
      <c r="B119" s="1" t="s">
        <v>53</v>
      </c>
      <c r="C119" t="s">
        <v>9</v>
      </c>
      <c r="D119" t="s">
        <v>54</v>
      </c>
      <c r="E119" t="s">
        <v>17</v>
      </c>
      <c r="F119" s="2">
        <v>46084.911805555559</v>
      </c>
      <c r="G119" s="2">
        <v>46084.930555555562</v>
      </c>
      <c r="H119" s="2">
        <v>46084.947916666672</v>
      </c>
      <c r="I119" s="2">
        <v>46085.018055555563</v>
      </c>
      <c r="J119" t="s">
        <v>22</v>
      </c>
      <c r="K119" s="3">
        <f>(G119-F119)*1440</f>
        <v>27.000000004190952</v>
      </c>
      <c r="L119" s="3">
        <f>(H119-G119)*1440</f>
        <v>24.999999997671694</v>
      </c>
      <c r="M119" s="3">
        <f>(I119-H119)*1440</f>
        <v>101.00000000442378</v>
      </c>
      <c r="N119" s="3">
        <f>(I119-F119)*1440</f>
        <v>153.00000000628643</v>
      </c>
      <c r="O119" t="str">
        <f>IF(OR(K119&lt;0,L119&lt;0,M119&lt;0,N119&lt;0),"Check","OK")</f>
        <v>OK</v>
      </c>
    </row>
    <row r="120" spans="1:15" x14ac:dyDescent="0.25">
      <c r="A120" t="s">
        <v>174</v>
      </c>
      <c r="B120" s="1" t="s">
        <v>53</v>
      </c>
      <c r="C120" t="s">
        <v>9</v>
      </c>
      <c r="D120" t="s">
        <v>54</v>
      </c>
      <c r="E120" t="s">
        <v>17</v>
      </c>
      <c r="F120" s="2">
        <v>46083.463888888888</v>
      </c>
      <c r="G120" s="2">
        <v>46083.481249999997</v>
      </c>
      <c r="H120" s="2">
        <v>46083.49722222222</v>
      </c>
      <c r="I120" s="2">
        <v>46083.570138888885</v>
      </c>
      <c r="J120" t="s">
        <v>22</v>
      </c>
      <c r="K120" s="3">
        <f>(G120-F120)*1440</f>
        <v>24.999999997671694</v>
      </c>
      <c r="L120" s="3">
        <f>(H120-G120)*1440</f>
        <v>23.000000001629815</v>
      </c>
      <c r="M120" s="3">
        <f>(I120-H120)*1440</f>
        <v>104.99999999650754</v>
      </c>
      <c r="N120" s="3">
        <f>(I120-F120)*1440</f>
        <v>152.99999999580905</v>
      </c>
      <c r="O120" t="str">
        <f>IF(OR(K120&lt;0,L120&lt;0,M120&lt;0,N120&lt;0),"Check","OK")</f>
        <v>OK</v>
      </c>
    </row>
    <row r="121" spans="1:15" x14ac:dyDescent="0.25">
      <c r="A121" t="s">
        <v>58</v>
      </c>
      <c r="B121" s="1" t="s">
        <v>41</v>
      </c>
      <c r="C121" t="s">
        <v>9</v>
      </c>
      <c r="D121" t="s">
        <v>42</v>
      </c>
      <c r="E121" t="s">
        <v>16</v>
      </c>
      <c r="F121" s="2">
        <v>46087.740277777775</v>
      </c>
      <c r="G121" s="2">
        <v>46087.759027777778</v>
      </c>
      <c r="H121" s="2">
        <v>46087.773611111108</v>
      </c>
      <c r="I121" s="2">
        <v>46087.845833333333</v>
      </c>
      <c r="J121" t="s">
        <v>20</v>
      </c>
      <c r="K121" s="3">
        <f>(G121-F121)*1440</f>
        <v>27.000000004190952</v>
      </c>
      <c r="L121" s="3">
        <f>(H121-G121)*1440</f>
        <v>20.999999995110556</v>
      </c>
      <c r="M121" s="3">
        <f>(I121-H121)*1440</f>
        <v>104.00000000372529</v>
      </c>
      <c r="N121" s="3">
        <f>(I121-F121)*1440</f>
        <v>152.0000000030268</v>
      </c>
      <c r="O121" t="str">
        <f>IF(OR(K121&lt;0,L121&lt;0,M121&lt;0,N121&lt;0),"Check","OK")</f>
        <v>OK</v>
      </c>
    </row>
    <row r="122" spans="1:15" x14ac:dyDescent="0.25">
      <c r="A122" t="s">
        <v>112</v>
      </c>
      <c r="B122" s="1" t="s">
        <v>41</v>
      </c>
      <c r="C122" t="s">
        <v>9</v>
      </c>
      <c r="D122" t="s">
        <v>42</v>
      </c>
      <c r="E122" t="s">
        <v>13</v>
      </c>
      <c r="F122" s="2">
        <v>46084.693055555559</v>
      </c>
      <c r="G122" s="2">
        <v>46084.702777777784</v>
      </c>
      <c r="H122" s="2">
        <v>46084.716666666674</v>
      </c>
      <c r="I122" s="2">
        <v>46084.798611111117</v>
      </c>
      <c r="J122" t="s">
        <v>20</v>
      </c>
      <c r="K122" s="3">
        <f>(G122-F122)*1440</f>
        <v>14.00000000372529</v>
      </c>
      <c r="L122" s="3">
        <f>(H122-G122)*1440</f>
        <v>20.000000002328306</v>
      </c>
      <c r="M122" s="3">
        <f>(I122-H122)*1440</f>
        <v>117.9999999969732</v>
      </c>
      <c r="N122" s="3">
        <f>(I122-F122)*1440</f>
        <v>152.0000000030268</v>
      </c>
      <c r="O122" t="str">
        <f>IF(OR(K122&lt;0,L122&lt;0,M122&lt;0,N122&lt;0),"Check","OK")</f>
        <v>OK</v>
      </c>
    </row>
    <row r="123" spans="1:15" x14ac:dyDescent="0.25">
      <c r="A123" t="s">
        <v>89</v>
      </c>
      <c r="B123" s="1" t="s">
        <v>53</v>
      </c>
      <c r="C123" t="s">
        <v>9</v>
      </c>
      <c r="D123" t="s">
        <v>54</v>
      </c>
      <c r="E123" t="s">
        <v>17</v>
      </c>
      <c r="F123" s="2">
        <v>46086.313194444447</v>
      </c>
      <c r="G123" s="2">
        <v>46086.331250000003</v>
      </c>
      <c r="H123" s="2">
        <v>46086.340972222228</v>
      </c>
      <c r="I123" s="2">
        <v>46086.418055555558</v>
      </c>
      <c r="J123" t="s">
        <v>22</v>
      </c>
      <c r="K123" s="3">
        <f>(G123-F123)*1440</f>
        <v>26.000000000931323</v>
      </c>
      <c r="L123" s="3">
        <f>(H123-G123)*1440</f>
        <v>14.00000000372529</v>
      </c>
      <c r="M123" s="3">
        <f>(I123-H123)*1440</f>
        <v>110.99999999511056</v>
      </c>
      <c r="N123" s="3">
        <f>(I123-F123)*1440</f>
        <v>150.99999999976717</v>
      </c>
      <c r="O123" t="str">
        <f>IF(OR(K123&lt;0,L123&lt;0,M123&lt;0,N123&lt;0),"Check","OK")</f>
        <v>OK</v>
      </c>
    </row>
    <row r="124" spans="1:15" x14ac:dyDescent="0.25">
      <c r="A124" t="s">
        <v>134</v>
      </c>
      <c r="B124" s="1" t="s">
        <v>41</v>
      </c>
      <c r="C124" t="s">
        <v>9</v>
      </c>
      <c r="D124" t="s">
        <v>42</v>
      </c>
      <c r="E124" t="s">
        <v>16</v>
      </c>
      <c r="F124" s="2">
        <v>46086.37777777778</v>
      </c>
      <c r="G124" s="2">
        <v>46086.382638888892</v>
      </c>
      <c r="H124" s="2">
        <v>46086.395138888889</v>
      </c>
      <c r="I124" s="2">
        <v>46086.482638888891</v>
      </c>
      <c r="J124" t="s">
        <v>22</v>
      </c>
      <c r="K124" s="3">
        <f>(G124-F124)*1440</f>
        <v>7.0000000018626451</v>
      </c>
      <c r="L124" s="3">
        <f>(H124-G124)*1440</f>
        <v>17.999999995809048</v>
      </c>
      <c r="M124" s="3">
        <f>(I124-H124)*1440</f>
        <v>126.00000000209548</v>
      </c>
      <c r="N124" s="3">
        <f>(I124-F124)*1440</f>
        <v>150.99999999976717</v>
      </c>
      <c r="O124" t="str">
        <f>IF(OR(K124&lt;0,L124&lt;0,M124&lt;0,N124&lt;0),"Check","OK")</f>
        <v>OK</v>
      </c>
    </row>
    <row r="125" spans="1:15" x14ac:dyDescent="0.25">
      <c r="A125" t="s">
        <v>138</v>
      </c>
      <c r="B125" s="1" t="s">
        <v>41</v>
      </c>
      <c r="C125" t="s">
        <v>9</v>
      </c>
      <c r="D125" t="s">
        <v>42</v>
      </c>
      <c r="E125" t="s">
        <v>16</v>
      </c>
      <c r="F125" s="2">
        <v>46087.535416666666</v>
      </c>
      <c r="G125" s="2">
        <v>46087.545138888891</v>
      </c>
      <c r="H125" s="2">
        <v>46087.557638888888</v>
      </c>
      <c r="I125" s="2">
        <v>46087.640277777777</v>
      </c>
      <c r="J125" t="s">
        <v>20</v>
      </c>
      <c r="K125" s="3">
        <f>(G125-F125)*1440</f>
        <v>14.00000000372529</v>
      </c>
      <c r="L125" s="3">
        <f>(H125-G125)*1440</f>
        <v>17.999999995809048</v>
      </c>
      <c r="M125" s="3">
        <f>(I125-H125)*1440</f>
        <v>119.00000000023283</v>
      </c>
      <c r="N125" s="3">
        <f>(I125-F125)*1440</f>
        <v>150.99999999976717</v>
      </c>
      <c r="O125" t="str">
        <f>IF(OR(K125&lt;0,L125&lt;0,M125&lt;0,N125&lt;0),"Check","OK")</f>
        <v>OK</v>
      </c>
    </row>
    <row r="126" spans="1:15" x14ac:dyDescent="0.25">
      <c r="A126" t="s">
        <v>195</v>
      </c>
      <c r="B126" s="1" t="s">
        <v>41</v>
      </c>
      <c r="C126" t="s">
        <v>9</v>
      </c>
      <c r="D126" t="s">
        <v>42</v>
      </c>
      <c r="E126" t="s">
        <v>16</v>
      </c>
      <c r="F126" s="2">
        <v>46086.947222222225</v>
      </c>
      <c r="G126" s="2">
        <v>46086.953472222223</v>
      </c>
      <c r="H126" s="2">
        <v>46086.970138888893</v>
      </c>
      <c r="I126" s="2">
        <v>46087.052083333336</v>
      </c>
      <c r="J126" t="s">
        <v>22</v>
      </c>
      <c r="K126" s="3">
        <f>(G126-F126)*1440</f>
        <v>8.9999999979045242</v>
      </c>
      <c r="L126" s="3">
        <f>(H126-G126)*1440</f>
        <v>24.000000004889444</v>
      </c>
      <c r="M126" s="3">
        <f>(I126-H126)*1440</f>
        <v>117.9999999969732</v>
      </c>
      <c r="N126" s="3">
        <f>(I126-F126)*1440</f>
        <v>150.99999999976717</v>
      </c>
      <c r="O126" t="str">
        <f>IF(OR(K126&lt;0,L126&lt;0,M126&lt;0,N126&lt;0),"Check","OK")</f>
        <v>OK</v>
      </c>
    </row>
    <row r="127" spans="1:15" x14ac:dyDescent="0.25">
      <c r="A127" t="s">
        <v>117</v>
      </c>
      <c r="B127" s="1" t="s">
        <v>53</v>
      </c>
      <c r="C127" t="s">
        <v>9</v>
      </c>
      <c r="D127" t="s">
        <v>54</v>
      </c>
      <c r="E127" t="s">
        <v>17</v>
      </c>
      <c r="F127" s="2">
        <v>46085.352777777778</v>
      </c>
      <c r="G127" s="2">
        <v>46085.371527777781</v>
      </c>
      <c r="H127" s="2">
        <v>46085.376388888893</v>
      </c>
      <c r="I127" s="2">
        <v>46085.45694444445</v>
      </c>
      <c r="J127" t="s">
        <v>22</v>
      </c>
      <c r="K127" s="3">
        <f>(G127-F127)*1440</f>
        <v>27.000000004190952</v>
      </c>
      <c r="L127" s="3">
        <f>(H127-G127)*1440</f>
        <v>7.0000000018626451</v>
      </c>
      <c r="M127" s="3">
        <f>(I127-H127)*1440</f>
        <v>116.00000000093132</v>
      </c>
      <c r="N127" s="3">
        <f>(I127-F127)*1440</f>
        <v>150.00000000698492</v>
      </c>
      <c r="O127" t="str">
        <f>IF(OR(K127&lt;0,L127&lt;0,M127&lt;0,N127&lt;0),"Check","OK")</f>
        <v>OK</v>
      </c>
    </row>
    <row r="128" spans="1:15" x14ac:dyDescent="0.25">
      <c r="A128" t="s">
        <v>160</v>
      </c>
      <c r="B128" s="1" t="s">
        <v>53</v>
      </c>
      <c r="C128" t="s">
        <v>9</v>
      </c>
      <c r="D128" t="s">
        <v>54</v>
      </c>
      <c r="E128" t="s">
        <v>17</v>
      </c>
      <c r="F128" s="2">
        <v>46085.862500000003</v>
      </c>
      <c r="G128" s="2">
        <v>46085.87777777778</v>
      </c>
      <c r="H128" s="2">
        <v>46085.89444444445</v>
      </c>
      <c r="I128" s="2">
        <v>46085.966666666674</v>
      </c>
      <c r="J128" t="s">
        <v>21</v>
      </c>
      <c r="K128" s="3">
        <f>(G128-F128)*1440</f>
        <v>21.999999998370185</v>
      </c>
      <c r="L128" s="3">
        <f>(H128-G128)*1440</f>
        <v>24.000000004889444</v>
      </c>
      <c r="M128" s="3">
        <f>(I128-H128)*1440</f>
        <v>104.00000000372529</v>
      </c>
      <c r="N128" s="3">
        <f>(I128-F128)*1440</f>
        <v>150.00000000698492</v>
      </c>
      <c r="O128" t="str">
        <f>IF(OR(K128&lt;0,L128&lt;0,M128&lt;0,N128&lt;0),"Check","OK")</f>
        <v>OK</v>
      </c>
    </row>
    <row r="129" spans="1:15" x14ac:dyDescent="0.25">
      <c r="A129" t="s">
        <v>81</v>
      </c>
      <c r="B129" s="1" t="s">
        <v>41</v>
      </c>
      <c r="C129" t="s">
        <v>9</v>
      </c>
      <c r="D129" t="s">
        <v>42</v>
      </c>
      <c r="E129" t="s">
        <v>16</v>
      </c>
      <c r="F129" s="2">
        <v>46088.493055555555</v>
      </c>
      <c r="G129" s="2">
        <v>46088.5</v>
      </c>
      <c r="H129" s="2">
        <v>46088.504166666666</v>
      </c>
      <c r="I129" s="2">
        <v>46088.597222222219</v>
      </c>
      <c r="J129" t="s">
        <v>22</v>
      </c>
      <c r="K129" s="3">
        <f>(G129-F129)*1440</f>
        <v>10.000000001164153</v>
      </c>
      <c r="L129" s="3">
        <f>(H129-G129)*1440</f>
        <v>5.9999999986030161</v>
      </c>
      <c r="M129" s="3">
        <f>(I129-H129)*1440</f>
        <v>133.99999999674037</v>
      </c>
      <c r="N129" s="3">
        <f>(I129-F129)*1440</f>
        <v>149.99999999650754</v>
      </c>
      <c r="O129" t="str">
        <f>IF(OR(K129&lt;0,L129&lt;0,M129&lt;0,N129&lt;0),"Check","OK")</f>
        <v>OK</v>
      </c>
    </row>
    <row r="130" spans="1:15" x14ac:dyDescent="0.25">
      <c r="A130" t="s">
        <v>235</v>
      </c>
      <c r="B130" s="1" t="s">
        <v>53</v>
      </c>
      <c r="C130" t="s">
        <v>9</v>
      </c>
      <c r="D130" t="s">
        <v>54</v>
      </c>
      <c r="E130" t="s">
        <v>17</v>
      </c>
      <c r="F130" s="2">
        <v>46082.281944444447</v>
      </c>
      <c r="G130" s="2">
        <v>46082.293055555558</v>
      </c>
      <c r="H130" s="2">
        <v>46082.311111111114</v>
      </c>
      <c r="I130" s="2">
        <v>46082.385416666672</v>
      </c>
      <c r="J130" t="s">
        <v>22</v>
      </c>
      <c r="K130" s="3">
        <f>(G130-F130)*1440</f>
        <v>15.999999999767169</v>
      </c>
      <c r="L130" s="3">
        <f>(H130-G130)*1440</f>
        <v>26.000000000931323</v>
      </c>
      <c r="M130" s="3">
        <f>(I130-H130)*1440</f>
        <v>107.0000000030268</v>
      </c>
      <c r="N130" s="3">
        <f>(I130-F130)*1440</f>
        <v>149.00000000372529</v>
      </c>
      <c r="O130" t="str">
        <f>IF(OR(K130&lt;0,L130&lt;0,M130&lt;0,N130&lt;0),"Check","OK")</f>
        <v>OK</v>
      </c>
    </row>
    <row r="131" spans="1:15" x14ac:dyDescent="0.25">
      <c r="A131" t="s">
        <v>44</v>
      </c>
      <c r="B131" s="1" t="s">
        <v>35</v>
      </c>
      <c r="C131" t="s">
        <v>8</v>
      </c>
      <c r="D131" t="s">
        <v>36</v>
      </c>
      <c r="E131" t="s">
        <v>17</v>
      </c>
      <c r="F131" s="2">
        <v>46086.613888888889</v>
      </c>
      <c r="G131" s="2">
        <v>46086.62222222222</v>
      </c>
      <c r="H131" s="2">
        <v>46086.633333333331</v>
      </c>
      <c r="I131" s="2">
        <v>46086.717361111107</v>
      </c>
      <c r="J131" t="s">
        <v>20</v>
      </c>
      <c r="K131" s="3">
        <f>(G131-F131)*1440</f>
        <v>11.999999997206032</v>
      </c>
      <c r="L131" s="3">
        <f>(H131-G131)*1440</f>
        <v>15.999999999767169</v>
      </c>
      <c r="M131" s="3">
        <f>(I131-H131)*1440</f>
        <v>120.99999999627471</v>
      </c>
      <c r="N131" s="3">
        <f>(I131-F131)*1440</f>
        <v>148.99999999324791</v>
      </c>
      <c r="O131" t="str">
        <f>IF(OR(K131&lt;0,L131&lt;0,M131&lt;0,N131&lt;0),"Check","OK")</f>
        <v>OK</v>
      </c>
    </row>
    <row r="132" spans="1:15" x14ac:dyDescent="0.25">
      <c r="A132" t="s">
        <v>177</v>
      </c>
      <c r="B132" s="1" t="s">
        <v>53</v>
      </c>
      <c r="C132" t="s">
        <v>9</v>
      </c>
      <c r="D132" t="s">
        <v>54</v>
      </c>
      <c r="E132" t="s">
        <v>18</v>
      </c>
      <c r="F132" s="2">
        <v>46086.793749999997</v>
      </c>
      <c r="G132" s="2">
        <v>46086.804166666661</v>
      </c>
      <c r="H132" s="2">
        <v>46086.81041666666</v>
      </c>
      <c r="I132" s="2">
        <v>46086.897222222215</v>
      </c>
      <c r="J132" t="s">
        <v>20</v>
      </c>
      <c r="K132" s="3">
        <f>(G132-F132)*1440</f>
        <v>14.99999999650754</v>
      </c>
      <c r="L132" s="3">
        <f>(H132-G132)*1440</f>
        <v>8.9999999979045242</v>
      </c>
      <c r="M132" s="3">
        <f>(I132-H132)*1440</f>
        <v>124.99999999883585</v>
      </c>
      <c r="N132" s="3">
        <f>(I132-F132)*1440</f>
        <v>148.99999999324791</v>
      </c>
      <c r="O132" t="str">
        <f>IF(OR(K132&lt;0,L132&lt;0,M132&lt;0,N132&lt;0),"Check","OK")</f>
        <v>OK</v>
      </c>
    </row>
    <row r="133" spans="1:15" x14ac:dyDescent="0.25">
      <c r="A133" t="s">
        <v>66</v>
      </c>
      <c r="B133" s="1" t="s">
        <v>41</v>
      </c>
      <c r="C133" t="s">
        <v>9</v>
      </c>
      <c r="D133" t="s">
        <v>42</v>
      </c>
      <c r="E133" t="s">
        <v>13</v>
      </c>
      <c r="F133" s="2">
        <v>46088.477777777778</v>
      </c>
      <c r="G133" s="2">
        <v>46088.48541666667</v>
      </c>
      <c r="H133" s="2">
        <v>46088.504166666673</v>
      </c>
      <c r="I133" s="2">
        <v>46088.580555555563</v>
      </c>
      <c r="J133" t="s">
        <v>22</v>
      </c>
      <c r="K133" s="3">
        <f>(G133-F133)*1440</f>
        <v>11.000000004423782</v>
      </c>
      <c r="L133" s="3">
        <f>(H133-G133)*1440</f>
        <v>27.000000004190952</v>
      </c>
      <c r="M133" s="3">
        <f>(I133-H133)*1440</f>
        <v>110.00000000232831</v>
      </c>
      <c r="N133" s="3">
        <f>(I133-F133)*1440</f>
        <v>148.00000001094304</v>
      </c>
      <c r="O133" t="str">
        <f>IF(OR(K133&lt;0,L133&lt;0,M133&lt;0,N133&lt;0),"Check","OK")</f>
        <v>OK</v>
      </c>
    </row>
    <row r="134" spans="1:15" x14ac:dyDescent="0.25">
      <c r="A134" t="s">
        <v>130</v>
      </c>
      <c r="B134" s="1" t="s">
        <v>41</v>
      </c>
      <c r="C134" t="s">
        <v>9</v>
      </c>
      <c r="D134" t="s">
        <v>42</v>
      </c>
      <c r="E134" t="s">
        <v>13</v>
      </c>
      <c r="F134" s="2">
        <v>46082.875</v>
      </c>
      <c r="G134" s="2">
        <v>46082.880555555559</v>
      </c>
      <c r="H134" s="2">
        <v>46082.897916666669</v>
      </c>
      <c r="I134" s="2">
        <v>46082.977777777778</v>
      </c>
      <c r="J134" t="s">
        <v>21</v>
      </c>
      <c r="K134" s="3">
        <f>(G134-F134)*1440</f>
        <v>8.0000000051222742</v>
      </c>
      <c r="L134" s="3">
        <f>(H134-G134)*1440</f>
        <v>24.999999997671694</v>
      </c>
      <c r="M134" s="3">
        <f>(I134-H134)*1440</f>
        <v>114.99999999767169</v>
      </c>
      <c r="N134" s="3">
        <f>(I134-F134)*1440</f>
        <v>148.00000000046566</v>
      </c>
      <c r="O134" t="str">
        <f>IF(OR(K134&lt;0,L134&lt;0,M134&lt;0,N134&lt;0),"Check","OK")</f>
        <v>OK</v>
      </c>
    </row>
    <row r="135" spans="1:15" x14ac:dyDescent="0.25">
      <c r="A135" t="s">
        <v>182</v>
      </c>
      <c r="B135" s="1" t="s">
        <v>70</v>
      </c>
      <c r="C135" t="s">
        <v>8</v>
      </c>
      <c r="D135" t="s">
        <v>47</v>
      </c>
      <c r="E135" t="s">
        <v>13</v>
      </c>
      <c r="F135" s="2">
        <v>46084.553472222222</v>
      </c>
      <c r="G135" s="2">
        <v>46084.557638888888</v>
      </c>
      <c r="H135" s="2">
        <v>46084.5625</v>
      </c>
      <c r="I135" s="2">
        <v>46084.65625</v>
      </c>
      <c r="J135" t="s">
        <v>20</v>
      </c>
      <c r="K135" s="3">
        <f>(G135-F135)*1440</f>
        <v>5.9999999986030161</v>
      </c>
      <c r="L135" s="3">
        <f>(H135-G135)*1440</f>
        <v>7.0000000018626451</v>
      </c>
      <c r="M135" s="3">
        <f>(I135-H135)*1440</f>
        <v>135</v>
      </c>
      <c r="N135" s="3">
        <f>(I135-F135)*1440</f>
        <v>148.00000000046566</v>
      </c>
      <c r="O135" t="str">
        <f>IF(OR(K135&lt;0,L135&lt;0,M135&lt;0,N135&lt;0),"Check","OK")</f>
        <v>OK</v>
      </c>
    </row>
    <row r="136" spans="1:15" x14ac:dyDescent="0.25">
      <c r="A136" t="s">
        <v>223</v>
      </c>
      <c r="B136" s="1" t="s">
        <v>41</v>
      </c>
      <c r="C136" t="s">
        <v>9</v>
      </c>
      <c r="D136" t="s">
        <v>42</v>
      </c>
      <c r="E136" t="s">
        <v>16</v>
      </c>
      <c r="F136" s="2">
        <v>46088.818749999999</v>
      </c>
      <c r="G136" s="2">
        <v>46088.829861111109</v>
      </c>
      <c r="H136" s="2">
        <v>46088.849305555552</v>
      </c>
      <c r="I136" s="2">
        <v>46088.92083333333</v>
      </c>
      <c r="J136" t="s">
        <v>20</v>
      </c>
      <c r="K136" s="3">
        <f>(G136-F136)*1440</f>
        <v>15.999999999767169</v>
      </c>
      <c r="L136" s="3">
        <f>(H136-G136)*1440</f>
        <v>27.999999996973202</v>
      </c>
      <c r="M136" s="3">
        <f>(I136-H136)*1440</f>
        <v>103.00000000046566</v>
      </c>
      <c r="N136" s="3">
        <f>(I136-F136)*1440</f>
        <v>146.99999999720603</v>
      </c>
      <c r="O136" t="str">
        <f>IF(OR(K136&lt;0,L136&lt;0,M136&lt;0,N136&lt;0),"Check","OK")</f>
        <v>OK</v>
      </c>
    </row>
    <row r="137" spans="1:15" x14ac:dyDescent="0.25">
      <c r="A137" t="s">
        <v>69</v>
      </c>
      <c r="B137" s="1" t="s">
        <v>70</v>
      </c>
      <c r="C137" t="s">
        <v>8</v>
      </c>
      <c r="D137" t="s">
        <v>47</v>
      </c>
      <c r="E137" t="s">
        <v>15</v>
      </c>
      <c r="F137" s="2">
        <v>46087.924305555556</v>
      </c>
      <c r="G137" s="2">
        <v>46087.93472222222</v>
      </c>
      <c r="H137" s="2">
        <v>46087.942361111112</v>
      </c>
      <c r="I137" s="2">
        <v>46088.025694444448</v>
      </c>
      <c r="J137" t="s">
        <v>22</v>
      </c>
      <c r="K137" s="3">
        <f>(G137-F137)*1440</f>
        <v>14.99999999650754</v>
      </c>
      <c r="L137" s="3">
        <f>(H137-G137)*1440</f>
        <v>11.000000004423782</v>
      </c>
      <c r="M137" s="3">
        <f>(I137-H137)*1440</f>
        <v>120.00000000349246</v>
      </c>
      <c r="N137" s="3">
        <f>(I137-F137)*1440</f>
        <v>146.00000000442378</v>
      </c>
      <c r="O137" t="str">
        <f>IF(OR(K137&lt;0,L137&lt;0,M137&lt;0,N137&lt;0),"Check","OK")</f>
        <v>OK</v>
      </c>
    </row>
    <row r="138" spans="1:15" x14ac:dyDescent="0.25">
      <c r="A138" t="s">
        <v>110</v>
      </c>
      <c r="B138" s="1" t="s">
        <v>35</v>
      </c>
      <c r="C138" t="s">
        <v>8</v>
      </c>
      <c r="D138" t="s">
        <v>36</v>
      </c>
      <c r="E138" t="s">
        <v>15</v>
      </c>
      <c r="F138" s="2">
        <v>46084.499305555553</v>
      </c>
      <c r="G138" s="2">
        <v>46084.510416666664</v>
      </c>
      <c r="H138" s="2">
        <v>46084.51458333333</v>
      </c>
      <c r="I138" s="2">
        <v>46084.600694444438</v>
      </c>
      <c r="J138" t="s">
        <v>22</v>
      </c>
      <c r="K138" s="3">
        <f>(G138-F138)*1440</f>
        <v>15.999999999767169</v>
      </c>
      <c r="L138" s="3">
        <f>(H138-G138)*1440</f>
        <v>5.9999999986030161</v>
      </c>
      <c r="M138" s="3">
        <f>(I138-H138)*1440</f>
        <v>123.99999999557622</v>
      </c>
      <c r="N138" s="3">
        <f>(I138-F138)*1440</f>
        <v>145.9999999939464</v>
      </c>
      <c r="O138" t="str">
        <f>IF(OR(K138&lt;0,L138&lt;0,M138&lt;0,N138&lt;0),"Check","OK")</f>
        <v>OK</v>
      </c>
    </row>
    <row r="139" spans="1:15" x14ac:dyDescent="0.25">
      <c r="A139" t="s">
        <v>61</v>
      </c>
      <c r="B139" s="1" t="s">
        <v>41</v>
      </c>
      <c r="C139" t="s">
        <v>9</v>
      </c>
      <c r="D139" t="s">
        <v>42</v>
      </c>
      <c r="E139" t="s">
        <v>16</v>
      </c>
      <c r="F139" s="2">
        <v>46083.540972222225</v>
      </c>
      <c r="G139" s="2">
        <v>46083.559027777781</v>
      </c>
      <c r="H139" s="2">
        <v>46083.565972222226</v>
      </c>
      <c r="I139" s="2">
        <v>46083.64166666667</v>
      </c>
      <c r="J139" t="s">
        <v>20</v>
      </c>
      <c r="K139" s="3">
        <f>(G139-F139)*1440</f>
        <v>26.000000000931323</v>
      </c>
      <c r="L139" s="3">
        <f>(H139-G139)*1440</f>
        <v>10.000000001164153</v>
      </c>
      <c r="M139" s="3">
        <f>(I139-H139)*1440</f>
        <v>108.99999999906868</v>
      </c>
      <c r="N139" s="3">
        <f>(I139-F139)*1440</f>
        <v>145.00000000116415</v>
      </c>
      <c r="O139" t="str">
        <f>IF(OR(K139&lt;0,L139&lt;0,M139&lt;0,N139&lt;0),"Check","OK")</f>
        <v>OK</v>
      </c>
    </row>
    <row r="140" spans="1:15" x14ac:dyDescent="0.25">
      <c r="A140" t="s">
        <v>99</v>
      </c>
      <c r="B140" s="1" t="s">
        <v>53</v>
      </c>
      <c r="C140" t="s">
        <v>9</v>
      </c>
      <c r="D140" t="s">
        <v>54</v>
      </c>
      <c r="E140" t="s">
        <v>17</v>
      </c>
      <c r="F140" s="2">
        <v>46082.490972222222</v>
      </c>
      <c r="G140" s="2">
        <v>46082.504861111112</v>
      </c>
      <c r="H140" s="2">
        <v>46082.522916666669</v>
      </c>
      <c r="I140" s="2">
        <v>46082.590972222228</v>
      </c>
      <c r="J140" t="s">
        <v>22</v>
      </c>
      <c r="K140" s="3">
        <f>(G140-F140)*1440</f>
        <v>20.000000002328306</v>
      </c>
      <c r="L140" s="3">
        <f>(H140-G140)*1440</f>
        <v>26.000000000931323</v>
      </c>
      <c r="M140" s="3">
        <f>(I140-H140)*1440</f>
        <v>98.000000005122274</v>
      </c>
      <c r="N140" s="3">
        <f>(I140-F140)*1440</f>
        <v>144.0000000083819</v>
      </c>
      <c r="O140" t="str">
        <f>IF(OR(K140&lt;0,L140&lt;0,M140&lt;0,N140&lt;0),"Check","OK")</f>
        <v>OK</v>
      </c>
    </row>
    <row r="141" spans="1:15" x14ac:dyDescent="0.25">
      <c r="A141" t="s">
        <v>217</v>
      </c>
      <c r="B141" s="1" t="s">
        <v>41</v>
      </c>
      <c r="C141" t="s">
        <v>9</v>
      </c>
      <c r="D141" t="s">
        <v>42</v>
      </c>
      <c r="E141" t="s">
        <v>13</v>
      </c>
      <c r="F141" s="2">
        <v>46087.779166666667</v>
      </c>
      <c r="G141" s="2">
        <v>46087.79791666667</v>
      </c>
      <c r="H141" s="2">
        <v>46087.808333333334</v>
      </c>
      <c r="I141" s="2">
        <v>46087.875</v>
      </c>
      <c r="J141" t="s">
        <v>20</v>
      </c>
      <c r="K141" s="3">
        <f>(G141-F141)*1440</f>
        <v>27.000000004190952</v>
      </c>
      <c r="L141" s="3">
        <f>(H141-G141)*1440</f>
        <v>14.99999999650754</v>
      </c>
      <c r="M141" s="3">
        <f>(I141-H141)*1440</f>
        <v>95.999999998603016</v>
      </c>
      <c r="N141" s="3">
        <f>(I141-F141)*1440</f>
        <v>137.99999999930151</v>
      </c>
      <c r="O141" t="str">
        <f>IF(OR(K141&lt;0,L141&lt;0,M141&lt;0,N141&lt;0),"Check","OK")</f>
        <v>OK</v>
      </c>
    </row>
    <row r="142" spans="1:15" x14ac:dyDescent="0.25">
      <c r="A142" t="s">
        <v>52</v>
      </c>
      <c r="B142" s="1" t="s">
        <v>53</v>
      </c>
      <c r="C142" t="s">
        <v>9</v>
      </c>
      <c r="D142" t="s">
        <v>54</v>
      </c>
      <c r="E142" t="s">
        <v>18</v>
      </c>
      <c r="F142" s="2">
        <v>46087.57708333333</v>
      </c>
      <c r="G142" s="2">
        <v>46087.596527777772</v>
      </c>
      <c r="H142" s="2">
        <v>46087.602083333331</v>
      </c>
      <c r="I142" s="2">
        <v>46087.67083333333</v>
      </c>
      <c r="J142" t="s">
        <v>20</v>
      </c>
      <c r="K142" s="3">
        <f>(G142-F142)*1440</f>
        <v>27.999999996973202</v>
      </c>
      <c r="L142" s="3">
        <f>(H142-G142)*1440</f>
        <v>8.0000000051222742</v>
      </c>
      <c r="M142" s="3">
        <f>(I142-H142)*1440</f>
        <v>98.999999997904524</v>
      </c>
      <c r="N142" s="3">
        <f>(I142-F142)*1440</f>
        <v>135</v>
      </c>
      <c r="O142" t="str">
        <f>IF(OR(K142&lt;0,L142&lt;0,M142&lt;0,N142&lt;0),"Check","OK")</f>
        <v>OK</v>
      </c>
    </row>
    <row r="143" spans="1:15" x14ac:dyDescent="0.25">
      <c r="A143" t="s">
        <v>215</v>
      </c>
      <c r="B143" s="1" t="s">
        <v>53</v>
      </c>
      <c r="C143" t="s">
        <v>9</v>
      </c>
      <c r="D143" t="s">
        <v>54</v>
      </c>
      <c r="E143" t="s">
        <v>18</v>
      </c>
      <c r="F143" s="2">
        <v>46085.904861111114</v>
      </c>
      <c r="G143" s="2">
        <v>46085.920833333337</v>
      </c>
      <c r="H143" s="2">
        <v>46085.931250000001</v>
      </c>
      <c r="I143" s="2">
        <v>46085.998611111114</v>
      </c>
      <c r="J143" t="s">
        <v>21</v>
      </c>
      <c r="K143" s="3">
        <f>(G143-F143)*1440</f>
        <v>23.000000001629815</v>
      </c>
      <c r="L143" s="3">
        <f>(H143-G143)*1440</f>
        <v>14.99999999650754</v>
      </c>
      <c r="M143" s="3">
        <f>(I143-H143)*1440</f>
        <v>97.000000001862645</v>
      </c>
      <c r="N143" s="3">
        <f>(I143-F143)*1440</f>
        <v>135</v>
      </c>
      <c r="O143" t="str">
        <f>IF(OR(K143&lt;0,L143&lt;0,M143&lt;0,N143&lt;0),"Check","OK")</f>
        <v>OK</v>
      </c>
    </row>
    <row r="144" spans="1:15" x14ac:dyDescent="0.25">
      <c r="A144" t="s">
        <v>136</v>
      </c>
      <c r="B144" s="1" t="s">
        <v>53</v>
      </c>
      <c r="C144" t="s">
        <v>9</v>
      </c>
      <c r="D144" t="s">
        <v>54</v>
      </c>
      <c r="E144" t="s">
        <v>17</v>
      </c>
      <c r="F144" s="2">
        <v>46085.651388888888</v>
      </c>
      <c r="G144" s="2">
        <v>46085.663194444445</v>
      </c>
      <c r="H144" s="2">
        <v>46085.666666666664</v>
      </c>
      <c r="I144" s="2">
        <v>46085.744444444441</v>
      </c>
      <c r="J144" t="s">
        <v>20</v>
      </c>
      <c r="K144" s="3">
        <f>(G144-F144)*1440</f>
        <v>17.000000003026798</v>
      </c>
      <c r="L144" s="3">
        <f>(H144-G144)*1440</f>
        <v>4.9999999953433871</v>
      </c>
      <c r="M144" s="3">
        <f>(I144-H144)*1440</f>
        <v>111.99999999837019</v>
      </c>
      <c r="N144" s="3">
        <f>(I144-F144)*1440</f>
        <v>133.99999999674037</v>
      </c>
      <c r="O144" t="str">
        <f>IF(OR(K144&lt;0,L144&lt;0,M144&lt;0,N144&lt;0),"Check","OK")</f>
        <v>OK</v>
      </c>
    </row>
    <row r="145" spans="1:15" x14ac:dyDescent="0.25">
      <c r="A145" t="s">
        <v>100</v>
      </c>
      <c r="B145" s="1" t="s">
        <v>41</v>
      </c>
      <c r="C145" t="s">
        <v>9</v>
      </c>
      <c r="D145" t="s">
        <v>42</v>
      </c>
      <c r="E145" t="s">
        <v>16</v>
      </c>
      <c r="F145" s="2">
        <v>46088.489583333336</v>
      </c>
      <c r="G145" s="2">
        <v>46088.499305555561</v>
      </c>
      <c r="H145" s="2">
        <v>46088.503472222226</v>
      </c>
      <c r="I145" s="2">
        <v>46088.58194444445</v>
      </c>
      <c r="J145" t="s">
        <v>22</v>
      </c>
      <c r="K145" s="3">
        <f>(G145-F145)*1440</f>
        <v>14.00000000372529</v>
      </c>
      <c r="L145" s="3">
        <f>(H145-G145)*1440</f>
        <v>5.9999999986030161</v>
      </c>
      <c r="M145" s="3">
        <f>(I145-H145)*1440</f>
        <v>113.00000000162981</v>
      </c>
      <c r="N145" s="3">
        <f>(I145-F145)*1440</f>
        <v>133.00000000395812</v>
      </c>
      <c r="O145" t="str">
        <f>IF(OR(K145&lt;0,L145&lt;0,M145&lt;0,N145&lt;0),"Check","OK")</f>
        <v>OK</v>
      </c>
    </row>
    <row r="146" spans="1:15" ht="30" x14ac:dyDescent="0.25">
      <c r="A146" t="s">
        <v>150</v>
      </c>
      <c r="B146" s="1" t="s">
        <v>63</v>
      </c>
      <c r="C146" t="s">
        <v>10</v>
      </c>
      <c r="D146" t="s">
        <v>64</v>
      </c>
      <c r="E146" t="s">
        <v>18</v>
      </c>
      <c r="F146" s="2">
        <v>46085.700694444444</v>
      </c>
      <c r="G146" s="2">
        <v>46085.714583333334</v>
      </c>
      <c r="H146" s="2">
        <v>46085.734722222223</v>
      </c>
      <c r="I146" s="2">
        <v>46085.793055555558</v>
      </c>
      <c r="J146" t="s">
        <v>20</v>
      </c>
      <c r="K146" s="3">
        <f>(G146-F146)*1440</f>
        <v>20.000000002328306</v>
      </c>
      <c r="L146" s="3">
        <f>(H146-G146)*1440</f>
        <v>29.000000000232831</v>
      </c>
      <c r="M146" s="3">
        <f>(I146-H146)*1440</f>
        <v>84.000000001396984</v>
      </c>
      <c r="N146" s="3">
        <f>(I146-F146)*1440</f>
        <v>133.00000000395812</v>
      </c>
      <c r="O146" t="str">
        <f>IF(OR(K146&lt;0,L146&lt;0,M146&lt;0,N146&lt;0),"Check","OK")</f>
        <v>OK</v>
      </c>
    </row>
    <row r="147" spans="1:15" x14ac:dyDescent="0.25">
      <c r="A147" t="s">
        <v>225</v>
      </c>
      <c r="B147" s="1" t="s">
        <v>53</v>
      </c>
      <c r="C147" t="s">
        <v>9</v>
      </c>
      <c r="D147" t="s">
        <v>54</v>
      </c>
      <c r="E147" t="s">
        <v>18</v>
      </c>
      <c r="F147" s="2">
        <v>46082.765277777777</v>
      </c>
      <c r="G147" s="2">
        <v>46082.773611111108</v>
      </c>
      <c r="H147" s="2">
        <v>46082.78125</v>
      </c>
      <c r="I147" s="2">
        <v>46082.857638888891</v>
      </c>
      <c r="J147" t="s">
        <v>20</v>
      </c>
      <c r="K147" s="3">
        <f>(G147-F147)*1440</f>
        <v>11.999999997206032</v>
      </c>
      <c r="L147" s="3">
        <f>(H147-G147)*1440</f>
        <v>11.000000004423782</v>
      </c>
      <c r="M147" s="3">
        <f>(I147-H147)*1440</f>
        <v>110.00000000232831</v>
      </c>
      <c r="N147" s="3">
        <f>(I147-F147)*1440</f>
        <v>133.00000000395812</v>
      </c>
      <c r="O147" t="str">
        <f>IF(OR(K147&lt;0,L147&lt;0,M147&lt;0,N147&lt;0),"Check","OK")</f>
        <v>OK</v>
      </c>
    </row>
    <row r="148" spans="1:15" ht="30" x14ac:dyDescent="0.25">
      <c r="A148" t="s">
        <v>86</v>
      </c>
      <c r="B148" s="1" t="s">
        <v>63</v>
      </c>
      <c r="C148" t="s">
        <v>10</v>
      </c>
      <c r="D148" t="s">
        <v>64</v>
      </c>
      <c r="E148" t="s">
        <v>18</v>
      </c>
      <c r="F148" s="2">
        <v>46082.75</v>
      </c>
      <c r="G148" s="2">
        <v>46082.769444444442</v>
      </c>
      <c r="H148" s="2">
        <v>46082.787499999999</v>
      </c>
      <c r="I148" s="2">
        <v>46082.84097222222</v>
      </c>
      <c r="J148" t="s">
        <v>20</v>
      </c>
      <c r="K148" s="3">
        <f>(G148-F148)*1440</f>
        <v>27.999999996973202</v>
      </c>
      <c r="L148" s="3">
        <f>(H148-G148)*1440</f>
        <v>26.000000000931323</v>
      </c>
      <c r="M148" s="3">
        <f>(I148-H148)*1440</f>
        <v>76.999999999534339</v>
      </c>
      <c r="N148" s="3">
        <f>(I148-F148)*1440</f>
        <v>130.99999999743886</v>
      </c>
      <c r="O148" t="str">
        <f>IF(OR(K148&lt;0,L148&lt;0,M148&lt;0,N148&lt;0),"Check","OK")</f>
        <v>OK</v>
      </c>
    </row>
    <row r="149" spans="1:15" ht="30" x14ac:dyDescent="0.25">
      <c r="A149" t="s">
        <v>221</v>
      </c>
      <c r="B149" s="1" t="s">
        <v>63</v>
      </c>
      <c r="C149" t="s">
        <v>10</v>
      </c>
      <c r="D149" t="s">
        <v>64</v>
      </c>
      <c r="E149" t="s">
        <v>18</v>
      </c>
      <c r="F149" s="2">
        <v>46088.396527777775</v>
      </c>
      <c r="G149" s="2">
        <v>46088.415972222218</v>
      </c>
      <c r="H149" s="2">
        <v>46088.43472222222</v>
      </c>
      <c r="I149" s="2">
        <v>46088.487499999996</v>
      </c>
      <c r="J149" t="s">
        <v>22</v>
      </c>
      <c r="K149" s="3">
        <f>(G149-F149)*1440</f>
        <v>27.999999996973202</v>
      </c>
      <c r="L149" s="3">
        <f>(H149-G149)*1440</f>
        <v>27.000000004190952</v>
      </c>
      <c r="M149" s="3">
        <f>(I149-H149)*1440</f>
        <v>75.99999999627471</v>
      </c>
      <c r="N149" s="3">
        <f>(I149-F149)*1440</f>
        <v>130.99999999743886</v>
      </c>
      <c r="O149" t="str">
        <f>IF(OR(K149&lt;0,L149&lt;0,M149&lt;0,N149&lt;0),"Check","OK")</f>
        <v>OK</v>
      </c>
    </row>
    <row r="150" spans="1:15" x14ac:dyDescent="0.25">
      <c r="A150" t="s">
        <v>137</v>
      </c>
      <c r="B150" s="1" t="s">
        <v>41</v>
      </c>
      <c r="C150" t="s">
        <v>9</v>
      </c>
      <c r="D150" t="s">
        <v>42</v>
      </c>
      <c r="E150" t="s">
        <v>13</v>
      </c>
      <c r="F150" s="2">
        <v>46087.897916666669</v>
      </c>
      <c r="G150" s="2">
        <v>46087.911805555559</v>
      </c>
      <c r="H150" s="2">
        <v>46087.918055555558</v>
      </c>
      <c r="I150" s="2">
        <v>46087.98819444445</v>
      </c>
      <c r="J150" t="s">
        <v>21</v>
      </c>
      <c r="K150" s="3">
        <f>(G150-F150)*1440</f>
        <v>20.000000002328306</v>
      </c>
      <c r="L150" s="3">
        <f>(H150-G150)*1440</f>
        <v>8.9999999979045242</v>
      </c>
      <c r="M150" s="3">
        <f>(I150-H150)*1440</f>
        <v>101.00000000442378</v>
      </c>
      <c r="N150" s="3">
        <f>(I150-F150)*1440</f>
        <v>130.00000000465661</v>
      </c>
      <c r="O150" t="str">
        <f>IF(OR(K150&lt;0,L150&lt;0,M150&lt;0,N150&lt;0),"Check","OK")</f>
        <v>OK</v>
      </c>
    </row>
    <row r="151" spans="1:15" x14ac:dyDescent="0.25">
      <c r="A151" t="s">
        <v>103</v>
      </c>
      <c r="B151" s="1" t="s">
        <v>41</v>
      </c>
      <c r="C151" t="s">
        <v>9</v>
      </c>
      <c r="D151" t="s">
        <v>42</v>
      </c>
      <c r="E151" t="s">
        <v>13</v>
      </c>
      <c r="F151" s="2">
        <v>46086.730555555558</v>
      </c>
      <c r="G151" s="2">
        <v>46086.741666666669</v>
      </c>
      <c r="H151" s="2">
        <v>46086.752083333333</v>
      </c>
      <c r="I151" s="2">
        <v>46086.820833333331</v>
      </c>
      <c r="J151" t="s">
        <v>20</v>
      </c>
      <c r="K151" s="3">
        <f>(G151-F151)*1440</f>
        <v>15.999999999767169</v>
      </c>
      <c r="L151" s="3">
        <f>(H151-G151)*1440</f>
        <v>14.99999999650754</v>
      </c>
      <c r="M151" s="3">
        <f>(I151-H151)*1440</f>
        <v>98.999999997904524</v>
      </c>
      <c r="N151" s="3">
        <f>(I151-F151)*1440</f>
        <v>129.99999999417923</v>
      </c>
      <c r="O151" t="str">
        <f>IF(OR(K151&lt;0,L151&lt;0,M151&lt;0,N151&lt;0),"Check","OK")</f>
        <v>OK</v>
      </c>
    </row>
    <row r="152" spans="1:15" x14ac:dyDescent="0.25">
      <c r="A152" t="s">
        <v>146</v>
      </c>
      <c r="B152" s="1" t="s">
        <v>53</v>
      </c>
      <c r="C152" t="s">
        <v>9</v>
      </c>
      <c r="D152" t="s">
        <v>54</v>
      </c>
      <c r="E152" t="s">
        <v>18</v>
      </c>
      <c r="F152" s="2">
        <v>46085.406944444447</v>
      </c>
      <c r="G152" s="2">
        <v>46085.42569444445</v>
      </c>
      <c r="H152" s="2">
        <v>46085.434027777781</v>
      </c>
      <c r="I152" s="2">
        <v>46085.496527777781</v>
      </c>
      <c r="J152" t="s">
        <v>22</v>
      </c>
      <c r="K152" s="3">
        <f>(G152-F152)*1440</f>
        <v>27.000000004190952</v>
      </c>
      <c r="L152" s="3">
        <f>(H152-G152)*1440</f>
        <v>11.999999997206032</v>
      </c>
      <c r="M152" s="3">
        <f>(I152-H152)*1440</f>
        <v>90</v>
      </c>
      <c r="N152" s="3">
        <f>(I152-F152)*1440</f>
        <v>129.00000000139698</v>
      </c>
      <c r="O152" t="str">
        <f>IF(OR(K152&lt;0,L152&lt;0,M152&lt;0,N152&lt;0),"Check","OK")</f>
        <v>OK</v>
      </c>
    </row>
    <row r="153" spans="1:15" x14ac:dyDescent="0.25">
      <c r="A153" t="s">
        <v>191</v>
      </c>
      <c r="B153" s="1" t="s">
        <v>53</v>
      </c>
      <c r="C153" t="s">
        <v>9</v>
      </c>
      <c r="D153" t="s">
        <v>54</v>
      </c>
      <c r="E153" t="s">
        <v>17</v>
      </c>
      <c r="F153" s="2">
        <v>46084.342361111114</v>
      </c>
      <c r="G153" s="2">
        <v>46084.352083333339</v>
      </c>
      <c r="H153" s="2">
        <v>46084.365972222229</v>
      </c>
      <c r="I153" s="2">
        <v>46084.431944444448</v>
      </c>
      <c r="J153" t="s">
        <v>22</v>
      </c>
      <c r="K153" s="3">
        <f>(G153-F153)*1440</f>
        <v>14.00000000372529</v>
      </c>
      <c r="L153" s="3">
        <f>(H153-G153)*1440</f>
        <v>20.000000002328306</v>
      </c>
      <c r="M153" s="3">
        <f>(I153-H153)*1440</f>
        <v>94.999999995343387</v>
      </c>
      <c r="N153" s="3">
        <f>(I153-F153)*1440</f>
        <v>129.00000000139698</v>
      </c>
      <c r="O153" t="str">
        <f>IF(OR(K153&lt;0,L153&lt;0,M153&lt;0,N153&lt;0),"Check","OK")</f>
        <v>OK</v>
      </c>
    </row>
    <row r="154" spans="1:15" ht="30" x14ac:dyDescent="0.25">
      <c r="A154" t="s">
        <v>115</v>
      </c>
      <c r="B154" s="1" t="s">
        <v>63</v>
      </c>
      <c r="C154" t="s">
        <v>10</v>
      </c>
      <c r="D154" t="s">
        <v>64</v>
      </c>
      <c r="E154" t="s">
        <v>17</v>
      </c>
      <c r="F154" s="2">
        <v>46083.936805555553</v>
      </c>
      <c r="G154" s="2">
        <v>46083.943055555552</v>
      </c>
      <c r="H154" s="2">
        <v>46083.963888888888</v>
      </c>
      <c r="I154" s="2">
        <v>46084.025000000001</v>
      </c>
      <c r="J154" t="s">
        <v>22</v>
      </c>
      <c r="K154" s="3">
        <f>(G154-F154)*1440</f>
        <v>8.9999999979045242</v>
      </c>
      <c r="L154" s="3">
        <f>(H154-G154)*1440</f>
        <v>30.00000000349246</v>
      </c>
      <c r="M154" s="3">
        <f>(I154-H154)*1440</f>
        <v>88.000000003958121</v>
      </c>
      <c r="N154" s="3">
        <f>(I154-F154)*1440</f>
        <v>127.0000000053551</v>
      </c>
      <c r="O154" t="str">
        <f>IF(OR(K154&lt;0,L154&lt;0,M154&lt;0,N154&lt;0),"Check","OK")</f>
        <v>OK</v>
      </c>
    </row>
    <row r="155" spans="1:15" x14ac:dyDescent="0.25">
      <c r="A155" t="s">
        <v>94</v>
      </c>
      <c r="B155" s="1" t="s">
        <v>53</v>
      </c>
      <c r="C155" t="s">
        <v>9</v>
      </c>
      <c r="D155" t="s">
        <v>54</v>
      </c>
      <c r="E155" t="s">
        <v>17</v>
      </c>
      <c r="F155" s="2">
        <v>46087.40625</v>
      </c>
      <c r="G155" s="2">
        <v>46087.411111111112</v>
      </c>
      <c r="H155" s="2">
        <v>46087.425000000003</v>
      </c>
      <c r="I155" s="2">
        <v>46087.493750000001</v>
      </c>
      <c r="J155" t="s">
        <v>22</v>
      </c>
      <c r="K155" s="3">
        <f>(G155-F155)*1440</f>
        <v>7.0000000018626451</v>
      </c>
      <c r="L155" s="3">
        <f>(H155-G155)*1440</f>
        <v>20.000000002328306</v>
      </c>
      <c r="M155" s="3">
        <f>(I155-H155)*1440</f>
        <v>98.999999997904524</v>
      </c>
      <c r="N155" s="3">
        <f>(I155-F155)*1440</f>
        <v>126.00000000209548</v>
      </c>
      <c r="O155" t="str">
        <f>IF(OR(K155&lt;0,L155&lt;0,M155&lt;0,N155&lt;0),"Check","OK")</f>
        <v>OK</v>
      </c>
    </row>
    <row r="156" spans="1:15" x14ac:dyDescent="0.25">
      <c r="A156" t="s">
        <v>128</v>
      </c>
      <c r="B156" s="1" t="s">
        <v>53</v>
      </c>
      <c r="C156" t="s">
        <v>9</v>
      </c>
      <c r="D156" t="s">
        <v>54</v>
      </c>
      <c r="E156" t="s">
        <v>18</v>
      </c>
      <c r="F156" s="2">
        <v>46085.394444444442</v>
      </c>
      <c r="G156" s="2">
        <v>46085.404166666667</v>
      </c>
      <c r="H156" s="2">
        <v>46085.419444444444</v>
      </c>
      <c r="I156" s="2">
        <v>46085.481944444444</v>
      </c>
      <c r="J156" t="s">
        <v>22</v>
      </c>
      <c r="K156" s="3">
        <f>(G156-F156)*1440</f>
        <v>14.00000000372529</v>
      </c>
      <c r="L156" s="3">
        <f>(H156-G156)*1440</f>
        <v>21.999999998370185</v>
      </c>
      <c r="M156" s="3">
        <f>(I156-H156)*1440</f>
        <v>90</v>
      </c>
      <c r="N156" s="3">
        <f>(I156-F156)*1440</f>
        <v>126.00000000209548</v>
      </c>
      <c r="O156" t="str">
        <f>IF(OR(K156&lt;0,L156&lt;0,M156&lt;0,N156&lt;0),"Check","OK")</f>
        <v>OK</v>
      </c>
    </row>
    <row r="157" spans="1:15" ht="30" x14ac:dyDescent="0.25">
      <c r="A157" t="s">
        <v>178</v>
      </c>
      <c r="B157" s="1" t="s">
        <v>46</v>
      </c>
      <c r="C157" t="s">
        <v>10</v>
      </c>
      <c r="D157" t="s">
        <v>47</v>
      </c>
      <c r="E157" t="s">
        <v>15</v>
      </c>
      <c r="F157" s="2">
        <v>46082.749305555553</v>
      </c>
      <c r="G157" s="2">
        <v>46082.763194444444</v>
      </c>
      <c r="H157" s="2">
        <v>46082.779861111114</v>
      </c>
      <c r="I157" s="2">
        <v>46082.836805555555</v>
      </c>
      <c r="J157" t="s">
        <v>20</v>
      </c>
      <c r="K157" s="3">
        <f>(G157-F157)*1440</f>
        <v>20.000000002328306</v>
      </c>
      <c r="L157" s="3">
        <f>(H157-G157)*1440</f>
        <v>24.000000004889444</v>
      </c>
      <c r="M157" s="3">
        <f>(I157-H157)*1440</f>
        <v>81.999999994877726</v>
      </c>
      <c r="N157" s="3">
        <f>(I157-F157)*1440</f>
        <v>126.00000000209548</v>
      </c>
      <c r="O157" t="str">
        <f>IF(OR(K157&lt;0,L157&lt;0,M157&lt;0,N157&lt;0),"Check","OK")</f>
        <v>OK</v>
      </c>
    </row>
    <row r="158" spans="1:15" x14ac:dyDescent="0.25">
      <c r="A158" t="s">
        <v>176</v>
      </c>
      <c r="B158" s="1" t="s">
        <v>53</v>
      </c>
      <c r="C158" t="s">
        <v>9</v>
      </c>
      <c r="D158" t="s">
        <v>54</v>
      </c>
      <c r="E158" t="s">
        <v>18</v>
      </c>
      <c r="F158" s="2">
        <v>46086.433333333334</v>
      </c>
      <c r="G158" s="2">
        <v>46086.438888888893</v>
      </c>
      <c r="H158" s="2">
        <v>46086.452083333337</v>
      </c>
      <c r="I158" s="2">
        <v>46086.520138888896</v>
      </c>
      <c r="J158" t="s">
        <v>22</v>
      </c>
      <c r="K158" s="3">
        <f>(G158-F158)*1440</f>
        <v>8.0000000051222742</v>
      </c>
      <c r="L158" s="3">
        <f>(H158-G158)*1440</f>
        <v>18.999999999068677</v>
      </c>
      <c r="M158" s="3">
        <f>(I158-H158)*1440</f>
        <v>98.000000005122274</v>
      </c>
      <c r="N158" s="3">
        <f>(I158-F158)*1440</f>
        <v>125.00000000931323</v>
      </c>
      <c r="O158" t="str">
        <f>IF(OR(K158&lt;0,L158&lt;0,M158&lt;0,N158&lt;0),"Check","OK")</f>
        <v>OK</v>
      </c>
    </row>
    <row r="159" spans="1:15" x14ac:dyDescent="0.25">
      <c r="A159" t="s">
        <v>169</v>
      </c>
      <c r="B159" s="1" t="s">
        <v>53</v>
      </c>
      <c r="C159" t="s">
        <v>9</v>
      </c>
      <c r="D159" t="s">
        <v>54</v>
      </c>
      <c r="E159" t="s">
        <v>18</v>
      </c>
      <c r="F159" s="2">
        <v>46085.618055555555</v>
      </c>
      <c r="G159" s="2">
        <v>46085.62777777778</v>
      </c>
      <c r="H159" s="2">
        <v>46085.632638888892</v>
      </c>
      <c r="I159" s="2">
        <v>46085.70416666667</v>
      </c>
      <c r="J159" t="s">
        <v>20</v>
      </c>
      <c r="K159" s="3">
        <f>(G159-F159)*1440</f>
        <v>14.00000000372529</v>
      </c>
      <c r="L159" s="3">
        <f>(H159-G159)*1440</f>
        <v>7.0000000018626451</v>
      </c>
      <c r="M159" s="3">
        <f>(I159-H159)*1440</f>
        <v>103.00000000046566</v>
      </c>
      <c r="N159" s="3">
        <f>(I159-F159)*1440</f>
        <v>124.0000000060536</v>
      </c>
      <c r="O159" t="str">
        <f>IF(OR(K159&lt;0,L159&lt;0,M159&lt;0,N159&lt;0),"Check","OK")</f>
        <v>OK</v>
      </c>
    </row>
    <row r="160" spans="1:15" x14ac:dyDescent="0.25">
      <c r="A160" t="s">
        <v>222</v>
      </c>
      <c r="B160" s="1" t="s">
        <v>53</v>
      </c>
      <c r="C160" t="s">
        <v>9</v>
      </c>
      <c r="D160" t="s">
        <v>54</v>
      </c>
      <c r="E160" t="s">
        <v>17</v>
      </c>
      <c r="F160" s="2">
        <v>46088.306250000001</v>
      </c>
      <c r="G160" s="2">
        <v>46088.3125</v>
      </c>
      <c r="H160" s="2">
        <v>46088.318055555559</v>
      </c>
      <c r="I160" s="2">
        <v>46088.392361111117</v>
      </c>
      <c r="J160" t="s">
        <v>22</v>
      </c>
      <c r="K160" s="3">
        <f>(G160-F160)*1440</f>
        <v>8.9999999979045242</v>
      </c>
      <c r="L160" s="3">
        <f>(H160-G160)*1440</f>
        <v>8.0000000051222742</v>
      </c>
      <c r="M160" s="3">
        <f>(I160-H160)*1440</f>
        <v>107.0000000030268</v>
      </c>
      <c r="N160" s="3">
        <f>(I160-F160)*1440</f>
        <v>124.0000000060536</v>
      </c>
      <c r="O160" t="str">
        <f>IF(OR(K160&lt;0,L160&lt;0,M160&lt;0,N160&lt;0),"Check","OK")</f>
        <v>OK</v>
      </c>
    </row>
    <row r="161" spans="1:15" x14ac:dyDescent="0.25">
      <c r="A161" t="s">
        <v>210</v>
      </c>
      <c r="B161" s="1" t="s">
        <v>41</v>
      </c>
      <c r="C161" t="s">
        <v>9</v>
      </c>
      <c r="D161" t="s">
        <v>42</v>
      </c>
      <c r="E161" t="s">
        <v>16</v>
      </c>
      <c r="F161" s="2">
        <v>46087.597222222219</v>
      </c>
      <c r="G161" s="2">
        <v>46087.609722222216</v>
      </c>
      <c r="H161" s="2">
        <v>46087.613888888882</v>
      </c>
      <c r="I161" s="2">
        <v>46087.68263888888</v>
      </c>
      <c r="J161" t="s">
        <v>20</v>
      </c>
      <c r="K161" s="3">
        <f>(G161-F161)*1440</f>
        <v>17.999999995809048</v>
      </c>
      <c r="L161" s="3">
        <f>(H161-G161)*1440</f>
        <v>5.9999999986030161</v>
      </c>
      <c r="M161" s="3">
        <f>(I161-H161)*1440</f>
        <v>98.999999997904524</v>
      </c>
      <c r="N161" s="3">
        <f>(I161-F161)*1440</f>
        <v>122.99999999231659</v>
      </c>
      <c r="O161" t="str">
        <f>IF(OR(K161&lt;0,L161&lt;0,M161&lt;0,N161&lt;0),"Check","OK")</f>
        <v>OK</v>
      </c>
    </row>
    <row r="162" spans="1:15" ht="30" x14ac:dyDescent="0.25">
      <c r="A162" t="s">
        <v>183</v>
      </c>
      <c r="B162" s="1" t="s">
        <v>46</v>
      </c>
      <c r="C162" t="s">
        <v>10</v>
      </c>
      <c r="D162" t="s">
        <v>47</v>
      </c>
      <c r="E162" t="s">
        <v>14</v>
      </c>
      <c r="F162" s="2">
        <v>46085.512499999997</v>
      </c>
      <c r="G162" s="2">
        <v>46085.529166666667</v>
      </c>
      <c r="H162" s="2">
        <v>46085.545833333337</v>
      </c>
      <c r="I162" s="2">
        <v>46085.59652777778</v>
      </c>
      <c r="J162" t="s">
        <v>22</v>
      </c>
      <c r="K162" s="3">
        <f>(G162-F162)*1440</f>
        <v>24.000000004889444</v>
      </c>
      <c r="L162" s="3">
        <f>(H162-G162)*1440</f>
        <v>24.000000004889444</v>
      </c>
      <c r="M162" s="3">
        <f>(I162-H162)*1440</f>
        <v>72.999999996973202</v>
      </c>
      <c r="N162" s="3">
        <f>(I162-F162)*1440</f>
        <v>121.00000000675209</v>
      </c>
      <c r="O162" t="str">
        <f>IF(OR(K162&lt;0,L162&lt;0,M162&lt;0,N162&lt;0),"Check","OK")</f>
        <v>OK</v>
      </c>
    </row>
    <row r="163" spans="1:15" x14ac:dyDescent="0.25">
      <c r="A163" t="s">
        <v>59</v>
      </c>
      <c r="B163" s="1" t="s">
        <v>41</v>
      </c>
      <c r="C163" t="s">
        <v>9</v>
      </c>
      <c r="D163" t="s">
        <v>42</v>
      </c>
      <c r="E163" t="s">
        <v>16</v>
      </c>
      <c r="F163" s="2">
        <v>46084.574999999997</v>
      </c>
      <c r="G163" s="2">
        <v>46084.584027777775</v>
      </c>
      <c r="H163" s="2">
        <v>46084.593055555553</v>
      </c>
      <c r="I163" s="2">
        <v>46084.659027777772</v>
      </c>
      <c r="J163" t="s">
        <v>20</v>
      </c>
      <c r="K163" s="3">
        <f>(G163-F163)*1440</f>
        <v>13.000000000465661</v>
      </c>
      <c r="L163" s="3">
        <f>(H163-G163)*1440</f>
        <v>13.000000000465661</v>
      </c>
      <c r="M163" s="3">
        <f>(I163-H163)*1440</f>
        <v>94.999999995343387</v>
      </c>
      <c r="N163" s="3">
        <f>(I163-F163)*1440</f>
        <v>120.99999999627471</v>
      </c>
      <c r="O163" t="str">
        <f>IF(OR(K163&lt;0,L163&lt;0,M163&lt;0,N163&lt;0),"Check","OK")</f>
        <v>OK</v>
      </c>
    </row>
    <row r="164" spans="1:15" ht="30" x14ac:dyDescent="0.25">
      <c r="A164" t="s">
        <v>220</v>
      </c>
      <c r="B164" s="1" t="s">
        <v>46</v>
      </c>
      <c r="C164" t="s">
        <v>10</v>
      </c>
      <c r="D164" t="s">
        <v>47</v>
      </c>
      <c r="E164" t="s">
        <v>15</v>
      </c>
      <c r="F164" s="2">
        <v>46085.62777777778</v>
      </c>
      <c r="G164" s="2">
        <v>46085.638194444444</v>
      </c>
      <c r="H164" s="2">
        <v>46085.657638888886</v>
      </c>
      <c r="I164" s="2">
        <v>46085.711111111108</v>
      </c>
      <c r="J164" t="s">
        <v>20</v>
      </c>
      <c r="K164" s="3">
        <f>(G164-F164)*1440</f>
        <v>14.99999999650754</v>
      </c>
      <c r="L164" s="3">
        <f>(H164-G164)*1440</f>
        <v>27.999999996973202</v>
      </c>
      <c r="M164" s="3">
        <f>(I164-H164)*1440</f>
        <v>76.999999999534339</v>
      </c>
      <c r="N164" s="3">
        <f>(I164-F164)*1440</f>
        <v>119.99999999301508</v>
      </c>
      <c r="O164" t="str">
        <f>IF(OR(K164&lt;0,L164&lt;0,M164&lt;0,N164&lt;0),"Check","OK")</f>
        <v>OK</v>
      </c>
    </row>
    <row r="165" spans="1:15" ht="30" x14ac:dyDescent="0.25">
      <c r="A165" t="s">
        <v>98</v>
      </c>
      <c r="B165" s="1" t="s">
        <v>46</v>
      </c>
      <c r="C165" t="s">
        <v>10</v>
      </c>
      <c r="D165" t="s">
        <v>47</v>
      </c>
      <c r="E165" t="s">
        <v>17</v>
      </c>
      <c r="F165" s="2">
        <v>46082.451388888891</v>
      </c>
      <c r="G165" s="2">
        <v>46082.468055555561</v>
      </c>
      <c r="H165" s="2">
        <v>46082.476388888892</v>
      </c>
      <c r="I165" s="2">
        <v>46082.53402777778</v>
      </c>
      <c r="J165" t="s">
        <v>22</v>
      </c>
      <c r="K165" s="3">
        <f>(G165-F165)*1440</f>
        <v>24.000000004889444</v>
      </c>
      <c r="L165" s="3">
        <f>(H165-G165)*1440</f>
        <v>11.999999997206032</v>
      </c>
      <c r="M165" s="3">
        <f>(I165-H165)*1440</f>
        <v>82.999999998137355</v>
      </c>
      <c r="N165" s="3">
        <f>(I165-F165)*1440</f>
        <v>119.00000000023283</v>
      </c>
      <c r="O165" t="str">
        <f>IF(OR(K165&lt;0,L165&lt;0,M165&lt;0,N165&lt;0),"Check","OK")</f>
        <v>OK</v>
      </c>
    </row>
    <row r="166" spans="1:15" ht="30" x14ac:dyDescent="0.25">
      <c r="A166" t="s">
        <v>166</v>
      </c>
      <c r="B166" s="1" t="s">
        <v>46</v>
      </c>
      <c r="C166" t="s">
        <v>10</v>
      </c>
      <c r="D166" t="s">
        <v>47</v>
      </c>
      <c r="E166" t="s">
        <v>14</v>
      </c>
      <c r="F166" s="2">
        <v>46082.84375</v>
      </c>
      <c r="G166" s="2">
        <v>46082.856944444444</v>
      </c>
      <c r="H166" s="2">
        <v>46082.872916666667</v>
      </c>
      <c r="I166" s="2">
        <v>46082.926388888889</v>
      </c>
      <c r="J166" t="s">
        <v>20</v>
      </c>
      <c r="K166" s="3">
        <f>(G166-F166)*1440</f>
        <v>18.999999999068677</v>
      </c>
      <c r="L166" s="3">
        <f>(H166-G166)*1440</f>
        <v>23.000000001629815</v>
      </c>
      <c r="M166" s="3">
        <f>(I166-H166)*1440</f>
        <v>76.999999999534339</v>
      </c>
      <c r="N166" s="3">
        <f>(I166-F166)*1440</f>
        <v>119.00000000023283</v>
      </c>
      <c r="O166" t="str">
        <f>IF(OR(K166&lt;0,L166&lt;0,M166&lt;0,N166&lt;0),"Check","OK")</f>
        <v>OK</v>
      </c>
    </row>
    <row r="167" spans="1:15" ht="30" x14ac:dyDescent="0.25">
      <c r="A167" t="s">
        <v>197</v>
      </c>
      <c r="B167" s="1" t="s">
        <v>63</v>
      </c>
      <c r="C167" t="s">
        <v>10</v>
      </c>
      <c r="D167" t="s">
        <v>64</v>
      </c>
      <c r="E167" t="s">
        <v>17</v>
      </c>
      <c r="F167" s="2">
        <v>46086.541666666664</v>
      </c>
      <c r="G167" s="2">
        <v>46086.54583333333</v>
      </c>
      <c r="H167" s="2">
        <v>46086.566666666666</v>
      </c>
      <c r="I167" s="2">
        <v>46086.624305555553</v>
      </c>
      <c r="J167" t="s">
        <v>22</v>
      </c>
      <c r="K167" s="3">
        <f>(G167-F167)*1440</f>
        <v>5.9999999986030161</v>
      </c>
      <c r="L167" s="3">
        <f>(H167-G167)*1440</f>
        <v>30.00000000349246</v>
      </c>
      <c r="M167" s="3">
        <f>(I167-H167)*1440</f>
        <v>82.999999998137355</v>
      </c>
      <c r="N167" s="3">
        <f>(I167-F167)*1440</f>
        <v>119.00000000023283</v>
      </c>
      <c r="O167" t="str">
        <f>IF(OR(K167&lt;0,L167&lt;0,M167&lt;0,N167&lt;0),"Check","OK")</f>
        <v>OK</v>
      </c>
    </row>
    <row r="168" spans="1:15" ht="30" x14ac:dyDescent="0.25">
      <c r="A168" t="s">
        <v>45</v>
      </c>
      <c r="B168" s="1" t="s">
        <v>46</v>
      </c>
      <c r="C168" t="s">
        <v>10</v>
      </c>
      <c r="D168" t="s">
        <v>47</v>
      </c>
      <c r="E168" t="s">
        <v>17</v>
      </c>
      <c r="F168" s="2">
        <v>46085.397222222222</v>
      </c>
      <c r="G168" s="2">
        <v>46085.415972222225</v>
      </c>
      <c r="H168" s="2">
        <v>46085.422222222223</v>
      </c>
      <c r="I168" s="2">
        <v>46085.479166666664</v>
      </c>
      <c r="J168" t="s">
        <v>22</v>
      </c>
      <c r="K168" s="3">
        <f>(G168-F168)*1440</f>
        <v>27.000000004190952</v>
      </c>
      <c r="L168" s="3">
        <f>(H168-G168)*1440</f>
        <v>8.9999999979045242</v>
      </c>
      <c r="M168" s="3">
        <f>(I168-H168)*1440</f>
        <v>81.999999994877726</v>
      </c>
      <c r="N168" s="3">
        <f>(I168-F168)*1440</f>
        <v>117.9999999969732</v>
      </c>
      <c r="O168" t="str">
        <f>IF(OR(K168&lt;0,L168&lt;0,M168&lt;0,N168&lt;0),"Check","OK")</f>
        <v>OK</v>
      </c>
    </row>
    <row r="169" spans="1:15" ht="30" x14ac:dyDescent="0.25">
      <c r="A169" t="s">
        <v>121</v>
      </c>
      <c r="B169" s="1" t="s">
        <v>46</v>
      </c>
      <c r="C169" t="s">
        <v>10</v>
      </c>
      <c r="D169" t="s">
        <v>47</v>
      </c>
      <c r="E169" t="s">
        <v>15</v>
      </c>
      <c r="F169" s="2">
        <v>46085.791666666664</v>
      </c>
      <c r="G169" s="2">
        <v>46085.79583333333</v>
      </c>
      <c r="H169" s="2">
        <v>46085.813888888886</v>
      </c>
      <c r="I169" s="2">
        <v>46085.873611111107</v>
      </c>
      <c r="J169" t="s">
        <v>20</v>
      </c>
      <c r="K169" s="3">
        <f>(G169-F169)*1440</f>
        <v>5.9999999986030161</v>
      </c>
      <c r="L169" s="3">
        <f>(H169-G169)*1440</f>
        <v>26.000000000931323</v>
      </c>
      <c r="M169" s="3">
        <f>(I169-H169)*1440</f>
        <v>85.999999997438863</v>
      </c>
      <c r="N169" s="3">
        <f>(I169-F169)*1440</f>
        <v>117.9999999969732</v>
      </c>
      <c r="O169" t="str">
        <f>IF(OR(K169&lt;0,L169&lt;0,M169&lt;0,N169&lt;0),"Check","OK")</f>
        <v>OK</v>
      </c>
    </row>
    <row r="170" spans="1:15" ht="30" x14ac:dyDescent="0.25">
      <c r="A170" t="s">
        <v>202</v>
      </c>
      <c r="B170" s="1" t="s">
        <v>63</v>
      </c>
      <c r="C170" t="s">
        <v>10</v>
      </c>
      <c r="D170" t="s">
        <v>64</v>
      </c>
      <c r="E170" t="s">
        <v>17</v>
      </c>
      <c r="F170" s="2">
        <v>46088.490972222222</v>
      </c>
      <c r="G170" s="2">
        <v>46088.506249999999</v>
      </c>
      <c r="H170" s="2">
        <v>46088.515972222223</v>
      </c>
      <c r="I170" s="2">
        <v>46088.572222222225</v>
      </c>
      <c r="J170" t="s">
        <v>22</v>
      </c>
      <c r="K170" s="3">
        <f>(G170-F170)*1440</f>
        <v>21.999999998370185</v>
      </c>
      <c r="L170" s="3">
        <f>(H170-G170)*1440</f>
        <v>14.00000000372529</v>
      </c>
      <c r="M170" s="3">
        <f>(I170-H170)*1440</f>
        <v>81.000000002095476</v>
      </c>
      <c r="N170" s="3">
        <f>(I170-F170)*1440</f>
        <v>117.00000000419095</v>
      </c>
      <c r="O170" t="str">
        <f>IF(OR(K170&lt;0,L170&lt;0,M170&lt;0,N170&lt;0),"Check","OK")</f>
        <v>OK</v>
      </c>
    </row>
    <row r="171" spans="1:15" ht="30" x14ac:dyDescent="0.25">
      <c r="A171" t="s">
        <v>82</v>
      </c>
      <c r="B171" s="1" t="s">
        <v>46</v>
      </c>
      <c r="C171" t="s">
        <v>10</v>
      </c>
      <c r="D171" t="s">
        <v>47</v>
      </c>
      <c r="E171" t="s">
        <v>17</v>
      </c>
      <c r="F171" s="2">
        <v>46084.563194444447</v>
      </c>
      <c r="G171" s="2">
        <v>46084.577777777777</v>
      </c>
      <c r="H171" s="2">
        <v>46084.59375</v>
      </c>
      <c r="I171" s="2">
        <v>46084.643750000003</v>
      </c>
      <c r="J171" t="s">
        <v>20</v>
      </c>
      <c r="K171" s="3">
        <f>(G171-F171)*1440</f>
        <v>20.999999995110556</v>
      </c>
      <c r="L171" s="3">
        <f>(H171-G171)*1440</f>
        <v>23.000000001629815</v>
      </c>
      <c r="M171" s="3">
        <f>(I171-H171)*1440</f>
        <v>72.000000004190952</v>
      </c>
      <c r="N171" s="3">
        <f>(I171-F171)*1440</f>
        <v>116.00000000093132</v>
      </c>
      <c r="O171" t="str">
        <f>IF(OR(K171&lt;0,L171&lt;0,M171&lt;0,N171&lt;0),"Check","OK")</f>
        <v>OK</v>
      </c>
    </row>
    <row r="172" spans="1:15" ht="30" x14ac:dyDescent="0.25">
      <c r="A172" t="s">
        <v>186</v>
      </c>
      <c r="B172" s="1" t="s">
        <v>63</v>
      </c>
      <c r="C172" t="s">
        <v>10</v>
      </c>
      <c r="D172" t="s">
        <v>64</v>
      </c>
      <c r="E172" t="s">
        <v>18</v>
      </c>
      <c r="F172" s="2">
        <v>46082.888194444444</v>
      </c>
      <c r="G172" s="2">
        <v>46082.90625</v>
      </c>
      <c r="H172" s="2">
        <v>46082.925694444442</v>
      </c>
      <c r="I172" s="2">
        <v>46082.96875</v>
      </c>
      <c r="J172" t="s">
        <v>21</v>
      </c>
      <c r="K172" s="3">
        <f>(G172-F172)*1440</f>
        <v>26.000000000931323</v>
      </c>
      <c r="L172" s="3">
        <f>(H172-G172)*1440</f>
        <v>27.999999996973202</v>
      </c>
      <c r="M172" s="3">
        <f>(I172-H172)*1440</f>
        <v>62.000000003026798</v>
      </c>
      <c r="N172" s="3">
        <f>(I172-F172)*1440</f>
        <v>116.00000000093132</v>
      </c>
      <c r="O172" t="str">
        <f>IF(OR(K172&lt;0,L172&lt;0,M172&lt;0,N172&lt;0),"Check","OK")</f>
        <v>OK</v>
      </c>
    </row>
    <row r="173" spans="1:15" ht="30" x14ac:dyDescent="0.25">
      <c r="A173" t="s">
        <v>190</v>
      </c>
      <c r="B173" s="1" t="s">
        <v>63</v>
      </c>
      <c r="C173" t="s">
        <v>10</v>
      </c>
      <c r="D173" t="s">
        <v>64</v>
      </c>
      <c r="E173" t="s">
        <v>18</v>
      </c>
      <c r="F173" s="2">
        <v>46086.331944444442</v>
      </c>
      <c r="G173" s="2">
        <v>46086.344444444439</v>
      </c>
      <c r="H173" s="2">
        <v>46086.361111111109</v>
      </c>
      <c r="I173" s="2">
        <v>46086.412499999999</v>
      </c>
      <c r="J173" t="s">
        <v>22</v>
      </c>
      <c r="K173" s="3">
        <f>(G173-F173)*1440</f>
        <v>17.999999995809048</v>
      </c>
      <c r="L173" s="3">
        <f>(H173-G173)*1440</f>
        <v>24.000000004889444</v>
      </c>
      <c r="M173" s="3">
        <f>(I173-H173)*1440</f>
        <v>74.000000000232831</v>
      </c>
      <c r="N173" s="3">
        <f>(I173-F173)*1440</f>
        <v>116.00000000093132</v>
      </c>
      <c r="O173" t="str">
        <f>IF(OR(K173&lt;0,L173&lt;0,M173&lt;0,N173&lt;0),"Check","OK")</f>
        <v>OK</v>
      </c>
    </row>
    <row r="174" spans="1:15" ht="30" x14ac:dyDescent="0.25">
      <c r="A174" t="s">
        <v>114</v>
      </c>
      <c r="B174" s="1" t="s">
        <v>46</v>
      </c>
      <c r="C174" t="s">
        <v>10</v>
      </c>
      <c r="D174" t="s">
        <v>47</v>
      </c>
      <c r="E174" t="s">
        <v>17</v>
      </c>
      <c r="F174" s="2">
        <v>46082.493750000001</v>
      </c>
      <c r="G174" s="2">
        <v>46082.50277777778</v>
      </c>
      <c r="H174" s="2">
        <v>46082.518750000003</v>
      </c>
      <c r="I174" s="2">
        <v>46082.572916666672</v>
      </c>
      <c r="J174" t="s">
        <v>22</v>
      </c>
      <c r="K174" s="3">
        <f>(G174-F174)*1440</f>
        <v>13.000000000465661</v>
      </c>
      <c r="L174" s="3">
        <f>(H174-G174)*1440</f>
        <v>23.000000001629815</v>
      </c>
      <c r="M174" s="3">
        <f>(I174-H174)*1440</f>
        <v>78.000000002793968</v>
      </c>
      <c r="N174" s="3">
        <f>(I174-F174)*1440</f>
        <v>114.00000000488944</v>
      </c>
      <c r="O174" t="str">
        <f>IF(OR(K174&lt;0,L174&lt;0,M174&lt;0,N174&lt;0),"Check","OK")</f>
        <v>OK</v>
      </c>
    </row>
    <row r="175" spans="1:15" x14ac:dyDescent="0.25">
      <c r="A175" t="s">
        <v>219</v>
      </c>
      <c r="B175" s="1" t="s">
        <v>53</v>
      </c>
      <c r="C175" t="s">
        <v>9</v>
      </c>
      <c r="D175" t="s">
        <v>54</v>
      </c>
      <c r="E175" t="s">
        <v>17</v>
      </c>
      <c r="F175" s="2">
        <v>46085.750694444447</v>
      </c>
      <c r="G175" s="2">
        <v>46085.757638888892</v>
      </c>
      <c r="H175" s="2">
        <v>46085.76666666667</v>
      </c>
      <c r="I175" s="2">
        <v>46085.829861111117</v>
      </c>
      <c r="J175" t="s">
        <v>20</v>
      </c>
      <c r="K175" s="3">
        <f>(G175-F175)*1440</f>
        <v>10.000000001164153</v>
      </c>
      <c r="L175" s="3">
        <f>(H175-G175)*1440</f>
        <v>13.000000000465661</v>
      </c>
      <c r="M175" s="3">
        <f>(I175-H175)*1440</f>
        <v>91.000000003259629</v>
      </c>
      <c r="N175" s="3">
        <f>(I175-F175)*1440</f>
        <v>114.00000000488944</v>
      </c>
      <c r="O175" t="str">
        <f>IF(OR(K175&lt;0,L175&lt;0,M175&lt;0,N175&lt;0),"Check","OK")</f>
        <v>OK</v>
      </c>
    </row>
    <row r="176" spans="1:15" ht="30" x14ac:dyDescent="0.25">
      <c r="A176" t="s">
        <v>93</v>
      </c>
      <c r="B176" s="1" t="s">
        <v>63</v>
      </c>
      <c r="C176" t="s">
        <v>10</v>
      </c>
      <c r="D176" t="s">
        <v>64</v>
      </c>
      <c r="E176" t="s">
        <v>18</v>
      </c>
      <c r="F176" s="2">
        <v>46084.386111111111</v>
      </c>
      <c r="G176" s="2">
        <v>46084.401388888888</v>
      </c>
      <c r="H176" s="2">
        <v>46084.413888888885</v>
      </c>
      <c r="I176" s="2">
        <v>46084.463194444441</v>
      </c>
      <c r="J176" t="s">
        <v>22</v>
      </c>
      <c r="K176" s="3">
        <f>(G176-F176)*1440</f>
        <v>21.999999998370185</v>
      </c>
      <c r="L176" s="3">
        <f>(H176-G176)*1440</f>
        <v>17.999999995809048</v>
      </c>
      <c r="M176" s="3">
        <f>(I176-H176)*1440</f>
        <v>71.000000000931323</v>
      </c>
      <c r="N176" s="3">
        <f>(I176-F176)*1440</f>
        <v>110.99999999511056</v>
      </c>
      <c r="O176" t="str">
        <f>IF(OR(K176&lt;0,L176&lt;0,M176&lt;0,N176&lt;0),"Check","OK")</f>
        <v>OK</v>
      </c>
    </row>
    <row r="177" spans="1:15" ht="30" x14ac:dyDescent="0.25">
      <c r="A177" t="s">
        <v>241</v>
      </c>
      <c r="B177" s="1" t="s">
        <v>63</v>
      </c>
      <c r="C177" t="s">
        <v>10</v>
      </c>
      <c r="D177" t="s">
        <v>64</v>
      </c>
      <c r="E177" t="s">
        <v>18</v>
      </c>
      <c r="F177" s="2">
        <v>46084.336805555555</v>
      </c>
      <c r="G177" s="2">
        <v>46084.34652777778</v>
      </c>
      <c r="H177" s="2">
        <v>46084.36041666667</v>
      </c>
      <c r="I177" s="2">
        <v>46084.412500000006</v>
      </c>
      <c r="J177" t="s">
        <v>22</v>
      </c>
      <c r="K177" s="3">
        <f>(G177-F177)*1440</f>
        <v>14.00000000372529</v>
      </c>
      <c r="L177" s="3">
        <f>(H177-G177)*1440</f>
        <v>20.000000002328306</v>
      </c>
      <c r="M177" s="3">
        <f>(I177-H177)*1440</f>
        <v>75.00000000349246</v>
      </c>
      <c r="N177" s="3">
        <f>(I177-F177)*1440</f>
        <v>109.00000000954606</v>
      </c>
      <c r="O177" t="str">
        <f>IF(OR(K177&lt;0,L177&lt;0,M177&lt;0,N177&lt;0),"Check","OK")</f>
        <v>OK</v>
      </c>
    </row>
    <row r="178" spans="1:15" ht="30" x14ac:dyDescent="0.25">
      <c r="A178" t="s">
        <v>60</v>
      </c>
      <c r="B178" s="1" t="s">
        <v>46</v>
      </c>
      <c r="C178" t="s">
        <v>10</v>
      </c>
      <c r="D178" t="s">
        <v>47</v>
      </c>
      <c r="E178" t="s">
        <v>14</v>
      </c>
      <c r="F178" s="2">
        <v>46087.45</v>
      </c>
      <c r="G178" s="2">
        <v>46087.456944444442</v>
      </c>
      <c r="H178" s="2">
        <v>46087.477083333331</v>
      </c>
      <c r="I178" s="2">
        <v>46087.524305555555</v>
      </c>
      <c r="J178" t="s">
        <v>22</v>
      </c>
      <c r="K178" s="3">
        <f>(G178-F178)*1440</f>
        <v>10.000000001164153</v>
      </c>
      <c r="L178" s="3">
        <f>(H178-G178)*1440</f>
        <v>29.000000000232831</v>
      </c>
      <c r="M178" s="3">
        <f>(I178-H178)*1440</f>
        <v>68.000000001629815</v>
      </c>
      <c r="N178" s="3">
        <f>(I178-F178)*1440</f>
        <v>107.0000000030268</v>
      </c>
      <c r="O178" t="str">
        <f>IF(OR(K178&lt;0,L178&lt;0,M178&lt;0,N178&lt;0),"Check","OK")</f>
        <v>OK</v>
      </c>
    </row>
    <row r="179" spans="1:15" ht="30" x14ac:dyDescent="0.25">
      <c r="A179" t="s">
        <v>79</v>
      </c>
      <c r="B179" s="1" t="s">
        <v>46</v>
      </c>
      <c r="C179" t="s">
        <v>10</v>
      </c>
      <c r="D179" t="s">
        <v>47</v>
      </c>
      <c r="E179" t="s">
        <v>17</v>
      </c>
      <c r="F179" s="2">
        <v>46086.645138888889</v>
      </c>
      <c r="G179" s="2">
        <v>46086.657638888886</v>
      </c>
      <c r="H179" s="2">
        <v>46086.673611111109</v>
      </c>
      <c r="I179" s="2">
        <v>46086.719444444439</v>
      </c>
      <c r="J179" t="s">
        <v>20</v>
      </c>
      <c r="K179" s="3">
        <f>(G179-F179)*1440</f>
        <v>17.999999995809048</v>
      </c>
      <c r="L179" s="3">
        <f>(H179-G179)*1440</f>
        <v>23.000000001629815</v>
      </c>
      <c r="M179" s="3">
        <f>(I179-H179)*1440</f>
        <v>65.999999995110556</v>
      </c>
      <c r="N179" s="3">
        <f>(I179-F179)*1440</f>
        <v>106.99999999254942</v>
      </c>
      <c r="O179" t="str">
        <f>IF(OR(K179&lt;0,L179&lt;0,M179&lt;0,N179&lt;0),"Check","OK")</f>
        <v>OK</v>
      </c>
    </row>
    <row r="180" spans="1:15" ht="30" x14ac:dyDescent="0.25">
      <c r="A180" t="s">
        <v>157</v>
      </c>
      <c r="B180" s="1" t="s">
        <v>46</v>
      </c>
      <c r="C180" t="s">
        <v>10</v>
      </c>
      <c r="D180" t="s">
        <v>47</v>
      </c>
      <c r="E180" t="s">
        <v>14</v>
      </c>
      <c r="F180" s="2">
        <v>46082.493750000001</v>
      </c>
      <c r="G180" s="2">
        <v>46082.502083333333</v>
      </c>
      <c r="H180" s="2">
        <v>46082.516666666663</v>
      </c>
      <c r="I180" s="2">
        <v>46082.568055555552</v>
      </c>
      <c r="J180" t="s">
        <v>22</v>
      </c>
      <c r="K180" s="3">
        <f>(G180-F180)*1440</f>
        <v>11.999999997206032</v>
      </c>
      <c r="L180" s="3">
        <f>(H180-G180)*1440</f>
        <v>20.999999995110556</v>
      </c>
      <c r="M180" s="3">
        <f>(I180-H180)*1440</f>
        <v>74.000000000232831</v>
      </c>
      <c r="N180" s="3">
        <f>(I180-F180)*1440</f>
        <v>106.99999999254942</v>
      </c>
      <c r="O180" t="str">
        <f>IF(OR(K180&lt;0,L180&lt;0,M180&lt;0,N180&lt;0),"Check","OK")</f>
        <v>OK</v>
      </c>
    </row>
    <row r="181" spans="1:15" ht="30" x14ac:dyDescent="0.25">
      <c r="A181" t="s">
        <v>175</v>
      </c>
      <c r="B181" s="1" t="s">
        <v>63</v>
      </c>
      <c r="C181" t="s">
        <v>10</v>
      </c>
      <c r="D181" t="s">
        <v>64</v>
      </c>
      <c r="E181" t="s">
        <v>17</v>
      </c>
      <c r="F181" s="2">
        <v>46082.486111111109</v>
      </c>
      <c r="G181" s="2">
        <v>46082.489583333328</v>
      </c>
      <c r="H181" s="2">
        <v>46082.502083333326</v>
      </c>
      <c r="I181" s="2">
        <v>46082.56041666666</v>
      </c>
      <c r="J181" t="s">
        <v>22</v>
      </c>
      <c r="K181" s="3">
        <f>(G181-F181)*1440</f>
        <v>4.9999999953433871</v>
      </c>
      <c r="L181" s="3">
        <f>(H181-G181)*1440</f>
        <v>17.999999995809048</v>
      </c>
      <c r="M181" s="3">
        <f>(I181-H181)*1440</f>
        <v>84.000000001396984</v>
      </c>
      <c r="N181" s="3">
        <f>(I181-F181)*1440</f>
        <v>106.99999999254942</v>
      </c>
      <c r="O181" t="str">
        <f>IF(OR(K181&lt;0,L181&lt;0,M181&lt;0,N181&lt;0),"Check","OK")</f>
        <v>OK</v>
      </c>
    </row>
    <row r="182" spans="1:15" ht="30" x14ac:dyDescent="0.25">
      <c r="A182" t="s">
        <v>209</v>
      </c>
      <c r="B182" s="1" t="s">
        <v>63</v>
      </c>
      <c r="C182" t="s">
        <v>10</v>
      </c>
      <c r="D182" t="s">
        <v>64</v>
      </c>
      <c r="E182" t="s">
        <v>18</v>
      </c>
      <c r="F182" s="2">
        <v>46085.536111111112</v>
      </c>
      <c r="G182" s="2">
        <v>46085.545138888891</v>
      </c>
      <c r="H182" s="2">
        <v>46085.548611111109</v>
      </c>
      <c r="I182" s="2">
        <v>46085.610416666663</v>
      </c>
      <c r="J182" t="s">
        <v>22</v>
      </c>
      <c r="K182" s="3">
        <f>(G182-F182)*1440</f>
        <v>13.000000000465661</v>
      </c>
      <c r="L182" s="3">
        <f>(H182-G182)*1440</f>
        <v>4.9999999953433871</v>
      </c>
      <c r="M182" s="3">
        <f>(I182-H182)*1440</f>
        <v>88.999999996740371</v>
      </c>
      <c r="N182" s="3">
        <f>(I182-F182)*1440</f>
        <v>106.99999999254942</v>
      </c>
      <c r="O182" t="str">
        <f>IF(OR(K182&lt;0,L182&lt;0,M182&lt;0,N182&lt;0),"Check","OK")</f>
        <v>OK</v>
      </c>
    </row>
    <row r="183" spans="1:15" ht="30" x14ac:dyDescent="0.25">
      <c r="A183" t="s">
        <v>228</v>
      </c>
      <c r="B183" s="1" t="s">
        <v>46</v>
      </c>
      <c r="C183" t="s">
        <v>10</v>
      </c>
      <c r="D183" t="s">
        <v>47</v>
      </c>
      <c r="E183" t="s">
        <v>14</v>
      </c>
      <c r="F183" s="2">
        <v>46088.554166666669</v>
      </c>
      <c r="G183" s="2">
        <v>46088.570833333339</v>
      </c>
      <c r="H183" s="2">
        <v>46088.580555555563</v>
      </c>
      <c r="I183" s="2">
        <v>46088.62708333334</v>
      </c>
      <c r="J183" t="s">
        <v>20</v>
      </c>
      <c r="K183" s="3">
        <f>(G183-F183)*1440</f>
        <v>24.000000004889444</v>
      </c>
      <c r="L183" s="3">
        <f>(H183-G183)*1440</f>
        <v>14.00000000372529</v>
      </c>
      <c r="M183" s="3">
        <f>(I183-H183)*1440</f>
        <v>66.999999998370185</v>
      </c>
      <c r="N183" s="3">
        <f>(I183-F183)*1440</f>
        <v>105.00000000698492</v>
      </c>
      <c r="O183" t="str">
        <f>IF(OR(K183&lt;0,L183&lt;0,M183&lt;0,N183&lt;0),"Check","OK")</f>
        <v>OK</v>
      </c>
    </row>
    <row r="184" spans="1:15" ht="30" x14ac:dyDescent="0.25">
      <c r="A184" t="s">
        <v>193</v>
      </c>
      <c r="B184" s="1" t="s">
        <v>63</v>
      </c>
      <c r="C184" t="s">
        <v>10</v>
      </c>
      <c r="D184" t="s">
        <v>64</v>
      </c>
      <c r="E184" t="s">
        <v>18</v>
      </c>
      <c r="F184" s="2">
        <v>46087.29583333333</v>
      </c>
      <c r="G184" s="2">
        <v>46087.309027777774</v>
      </c>
      <c r="H184" s="2">
        <v>46087.315972222219</v>
      </c>
      <c r="I184" s="2">
        <v>46087.368055555555</v>
      </c>
      <c r="J184" t="s">
        <v>22</v>
      </c>
      <c r="K184" s="3">
        <f>(G184-F184)*1440</f>
        <v>18.999999999068677</v>
      </c>
      <c r="L184" s="3">
        <f>(H184-G184)*1440</f>
        <v>10.000000001164153</v>
      </c>
      <c r="M184" s="3">
        <f>(I184-H184)*1440</f>
        <v>75.00000000349246</v>
      </c>
      <c r="N184" s="3">
        <f>(I184-F184)*1440</f>
        <v>104.00000000372529</v>
      </c>
      <c r="O184" t="str">
        <f>IF(OR(K184&lt;0,L184&lt;0,M184&lt;0,N184&lt;0),"Check","OK")</f>
        <v>OK</v>
      </c>
    </row>
    <row r="185" spans="1:15" ht="30" x14ac:dyDescent="0.25">
      <c r="A185" t="s">
        <v>106</v>
      </c>
      <c r="B185" s="1" t="s">
        <v>46</v>
      </c>
      <c r="C185" t="s">
        <v>10</v>
      </c>
      <c r="D185" t="s">
        <v>47</v>
      </c>
      <c r="E185" t="s">
        <v>17</v>
      </c>
      <c r="F185" s="2">
        <v>46085.750694444447</v>
      </c>
      <c r="G185" s="2">
        <v>46085.754861111112</v>
      </c>
      <c r="H185" s="2">
        <v>46085.765277777777</v>
      </c>
      <c r="I185" s="2">
        <v>46085.822222222218</v>
      </c>
      <c r="J185" t="s">
        <v>20</v>
      </c>
      <c r="K185" s="3">
        <f>(G185-F185)*1440</f>
        <v>5.9999999986030161</v>
      </c>
      <c r="L185" s="3">
        <f>(H185-G185)*1440</f>
        <v>14.99999999650754</v>
      </c>
      <c r="M185" s="3">
        <f>(I185-H185)*1440</f>
        <v>81.999999994877726</v>
      </c>
      <c r="N185" s="3">
        <f>(I185-F185)*1440</f>
        <v>102.99999998998828</v>
      </c>
      <c r="O185" t="str">
        <f>IF(OR(K185&lt;0,L185&lt;0,M185&lt;0,N185&lt;0),"Check","OK")</f>
        <v>OK</v>
      </c>
    </row>
    <row r="186" spans="1:15" ht="30" x14ac:dyDescent="0.25">
      <c r="A186" t="s">
        <v>62</v>
      </c>
      <c r="B186" s="1" t="s">
        <v>63</v>
      </c>
      <c r="C186" t="s">
        <v>10</v>
      </c>
      <c r="D186" t="s">
        <v>64</v>
      </c>
      <c r="E186" t="s">
        <v>18</v>
      </c>
      <c r="F186" s="2">
        <v>46087.656944444447</v>
      </c>
      <c r="G186" s="2">
        <v>46087.670138888891</v>
      </c>
      <c r="H186" s="2">
        <v>46087.675000000003</v>
      </c>
      <c r="I186" s="2">
        <v>46087.727777777778</v>
      </c>
      <c r="J186" t="s">
        <v>20</v>
      </c>
      <c r="K186" s="3">
        <f>(G186-F186)*1440</f>
        <v>18.999999999068677</v>
      </c>
      <c r="L186" s="3">
        <f>(H186-G186)*1440</f>
        <v>7.0000000018626451</v>
      </c>
      <c r="M186" s="3">
        <f>(I186-H186)*1440</f>
        <v>75.99999999627471</v>
      </c>
      <c r="N186" s="3">
        <f>(I186-F186)*1440</f>
        <v>101.99999999720603</v>
      </c>
      <c r="O186" t="str">
        <f>IF(OR(K186&lt;0,L186&lt;0,M186&lt;0,N186&lt;0),"Check","OK")</f>
        <v>OK</v>
      </c>
    </row>
    <row r="187" spans="1:15" ht="30" x14ac:dyDescent="0.25">
      <c r="A187" t="s">
        <v>201</v>
      </c>
      <c r="B187" s="1" t="s">
        <v>63</v>
      </c>
      <c r="C187" t="s">
        <v>10</v>
      </c>
      <c r="D187" t="s">
        <v>64</v>
      </c>
      <c r="E187" t="s">
        <v>17</v>
      </c>
      <c r="F187" s="2">
        <v>46083.401388888888</v>
      </c>
      <c r="G187" s="2">
        <v>46083.413888888885</v>
      </c>
      <c r="H187" s="2">
        <v>46083.430555555555</v>
      </c>
      <c r="I187" s="2">
        <v>46083.472222222219</v>
      </c>
      <c r="J187" t="s">
        <v>22</v>
      </c>
      <c r="K187" s="3">
        <f>(G187-F187)*1440</f>
        <v>17.999999995809048</v>
      </c>
      <c r="L187" s="3">
        <f>(H187-G187)*1440</f>
        <v>24.000000004889444</v>
      </c>
      <c r="M187" s="3">
        <f>(I187-H187)*1440</f>
        <v>59.99999999650754</v>
      </c>
      <c r="N187" s="3">
        <f>(I187-F187)*1440</f>
        <v>101.99999999720603</v>
      </c>
      <c r="O187" t="str">
        <f>IF(OR(K187&lt;0,L187&lt;0,M187&lt;0,N187&lt;0),"Check","OK")</f>
        <v>OK</v>
      </c>
    </row>
    <row r="188" spans="1:15" ht="30" x14ac:dyDescent="0.25">
      <c r="A188" t="s">
        <v>214</v>
      </c>
      <c r="B188" s="1" t="s">
        <v>46</v>
      </c>
      <c r="C188" t="s">
        <v>10</v>
      </c>
      <c r="D188" t="s">
        <v>47</v>
      </c>
      <c r="E188" t="s">
        <v>17</v>
      </c>
      <c r="F188" s="2">
        <v>46084.27847222222</v>
      </c>
      <c r="G188" s="2">
        <v>46084.294444444444</v>
      </c>
      <c r="H188" s="2">
        <v>46084.303472222222</v>
      </c>
      <c r="I188" s="2">
        <v>46084.347916666666</v>
      </c>
      <c r="J188" t="s">
        <v>22</v>
      </c>
      <c r="K188" s="3">
        <f>(G188-F188)*1440</f>
        <v>23.000000001629815</v>
      </c>
      <c r="L188" s="3">
        <f>(H188-G188)*1440</f>
        <v>13.000000000465661</v>
      </c>
      <c r="M188" s="3">
        <f>(I188-H188)*1440</f>
        <v>63.999999999068677</v>
      </c>
      <c r="N188" s="3">
        <f>(I188-F188)*1440</f>
        <v>100.00000000116415</v>
      </c>
      <c r="O188" t="str">
        <f>IF(OR(K188&lt;0,L188&lt;0,M188&lt;0,N188&lt;0),"Check","OK")</f>
        <v>OK</v>
      </c>
    </row>
    <row r="189" spans="1:15" ht="30" x14ac:dyDescent="0.25">
      <c r="A189" t="s">
        <v>231</v>
      </c>
      <c r="B189" s="1" t="s">
        <v>46</v>
      </c>
      <c r="C189" t="s">
        <v>10</v>
      </c>
      <c r="D189" t="s">
        <v>47</v>
      </c>
      <c r="E189" t="s">
        <v>14</v>
      </c>
      <c r="F189" s="2">
        <v>46086.681944444441</v>
      </c>
      <c r="G189" s="2">
        <v>46086.697916666664</v>
      </c>
      <c r="H189" s="2">
        <v>46086.701388888883</v>
      </c>
      <c r="I189" s="2">
        <v>46086.751388888886</v>
      </c>
      <c r="J189" t="s">
        <v>20</v>
      </c>
      <c r="K189" s="3">
        <f>(G189-F189)*1440</f>
        <v>23.000000001629815</v>
      </c>
      <c r="L189" s="3">
        <f>(H189-G189)*1440</f>
        <v>4.9999999953433871</v>
      </c>
      <c r="M189" s="3">
        <f>(I189-H189)*1440</f>
        <v>72.000000004190952</v>
      </c>
      <c r="N189" s="3">
        <f>(I189-F189)*1440</f>
        <v>100.00000000116415</v>
      </c>
      <c r="O189" t="str">
        <f>IF(OR(K189&lt;0,L189&lt;0,M189&lt;0,N189&lt;0),"Check","OK")</f>
        <v>OK</v>
      </c>
    </row>
    <row r="190" spans="1:15" ht="30" x14ac:dyDescent="0.25">
      <c r="A190" t="s">
        <v>213</v>
      </c>
      <c r="B190" s="1" t="s">
        <v>63</v>
      </c>
      <c r="C190" t="s">
        <v>10</v>
      </c>
      <c r="D190" t="s">
        <v>64</v>
      </c>
      <c r="E190" t="s">
        <v>17</v>
      </c>
      <c r="F190" s="2">
        <v>46082.92291666667</v>
      </c>
      <c r="G190" s="2">
        <v>46082.934027777781</v>
      </c>
      <c r="H190" s="2">
        <v>46082.938888888893</v>
      </c>
      <c r="I190" s="2">
        <v>46082.991666666669</v>
      </c>
      <c r="J190" t="s">
        <v>21</v>
      </c>
      <c r="K190" s="3">
        <f>(G190-F190)*1440</f>
        <v>15.999999999767169</v>
      </c>
      <c r="L190" s="3">
        <f>(H190-G190)*1440</f>
        <v>7.0000000018626451</v>
      </c>
      <c r="M190" s="3">
        <f>(I190-H190)*1440</f>
        <v>75.99999999627471</v>
      </c>
      <c r="N190" s="3">
        <f>(I190-F190)*1440</f>
        <v>98.999999997904524</v>
      </c>
      <c r="O190" t="str">
        <f>IF(OR(K190&lt;0,L190&lt;0,M190&lt;0,N190&lt;0),"Check","OK")</f>
        <v>OK</v>
      </c>
    </row>
    <row r="191" spans="1:15" ht="30" x14ac:dyDescent="0.25">
      <c r="A191" t="s">
        <v>85</v>
      </c>
      <c r="B191" s="1" t="s">
        <v>46</v>
      </c>
      <c r="C191" t="s">
        <v>10</v>
      </c>
      <c r="D191" t="s">
        <v>47</v>
      </c>
      <c r="E191" t="s">
        <v>17</v>
      </c>
      <c r="F191" s="2">
        <v>46088.777777777781</v>
      </c>
      <c r="G191" s="2">
        <v>46088.781944444447</v>
      </c>
      <c r="H191" s="2">
        <v>46088.802083333336</v>
      </c>
      <c r="I191" s="2">
        <v>46088.845833333333</v>
      </c>
      <c r="J191" t="s">
        <v>20</v>
      </c>
      <c r="K191" s="3">
        <f>(G191-F191)*1440</f>
        <v>5.9999999986030161</v>
      </c>
      <c r="L191" s="3">
        <f>(H191-G191)*1440</f>
        <v>29.000000000232831</v>
      </c>
      <c r="M191" s="3">
        <f>(I191-H191)*1440</f>
        <v>62.999999995809048</v>
      </c>
      <c r="N191" s="3">
        <f>(I191-F191)*1440</f>
        <v>97.999999994644895</v>
      </c>
      <c r="O191" t="str">
        <f>IF(OR(K191&lt;0,L191&lt;0,M191&lt;0,N191&lt;0),"Check","OK")</f>
        <v>OK</v>
      </c>
    </row>
    <row r="192" spans="1:15" ht="30" x14ac:dyDescent="0.25">
      <c r="A192" t="s">
        <v>163</v>
      </c>
      <c r="B192" s="1" t="s">
        <v>46</v>
      </c>
      <c r="C192" t="s">
        <v>10</v>
      </c>
      <c r="D192" t="s">
        <v>47</v>
      </c>
      <c r="E192" t="s">
        <v>14</v>
      </c>
      <c r="F192" s="2">
        <v>46086.463888888888</v>
      </c>
      <c r="G192" s="2">
        <v>46086.484027777777</v>
      </c>
      <c r="H192" s="2">
        <v>46086.487499999996</v>
      </c>
      <c r="I192" s="2">
        <v>46086.531249999993</v>
      </c>
      <c r="J192" t="s">
        <v>22</v>
      </c>
      <c r="K192" s="3">
        <f>(G192-F192)*1440</f>
        <v>29.000000000232831</v>
      </c>
      <c r="L192" s="3">
        <f>(H192-G192)*1440</f>
        <v>4.9999999953433871</v>
      </c>
      <c r="M192" s="3">
        <f>(I192-H192)*1440</f>
        <v>62.999999995809048</v>
      </c>
      <c r="N192" s="3">
        <f>(I192-F192)*1440</f>
        <v>96.999999991385266</v>
      </c>
      <c r="O192" t="str">
        <f>IF(OR(K192&lt;0,L192&lt;0,M192&lt;0,N192&lt;0),"Check","OK")</f>
        <v>OK</v>
      </c>
    </row>
    <row r="193" spans="1:15" ht="30" x14ac:dyDescent="0.25">
      <c r="A193" t="s">
        <v>149</v>
      </c>
      <c r="B193" s="1" t="s">
        <v>63</v>
      </c>
      <c r="C193" t="s">
        <v>10</v>
      </c>
      <c r="D193" t="s">
        <v>64</v>
      </c>
      <c r="E193" t="s">
        <v>18</v>
      </c>
      <c r="F193" s="2">
        <v>46085.250694444447</v>
      </c>
      <c r="G193" s="2">
        <v>46085.259027777778</v>
      </c>
      <c r="H193" s="2">
        <v>46085.274305555555</v>
      </c>
      <c r="I193" s="2">
        <v>46085.317361111112</v>
      </c>
      <c r="J193" t="s">
        <v>22</v>
      </c>
      <c r="K193" s="3">
        <f>(G193-F193)*1440</f>
        <v>11.999999997206032</v>
      </c>
      <c r="L193" s="3">
        <f>(H193-G193)*1440</f>
        <v>21.999999998370185</v>
      </c>
      <c r="M193" s="3">
        <f>(I193-H193)*1440</f>
        <v>62.000000003026798</v>
      </c>
      <c r="N193" s="3">
        <f>(I193-F193)*1440</f>
        <v>95.999999998603016</v>
      </c>
      <c r="O193" t="str">
        <f>IF(OR(K193&lt;0,L193&lt;0,M193&lt;0,N193&lt;0),"Check","OK")</f>
        <v>OK</v>
      </c>
    </row>
    <row r="194" spans="1:15" ht="30" x14ac:dyDescent="0.25">
      <c r="A194" t="s">
        <v>127</v>
      </c>
      <c r="B194" s="1" t="s">
        <v>63</v>
      </c>
      <c r="C194" t="s">
        <v>10</v>
      </c>
      <c r="D194" t="s">
        <v>64</v>
      </c>
      <c r="E194" t="s">
        <v>18</v>
      </c>
      <c r="F194" s="2">
        <v>46084.554166666669</v>
      </c>
      <c r="G194" s="2">
        <v>46084.558333333334</v>
      </c>
      <c r="H194" s="2">
        <v>46084.568055555559</v>
      </c>
      <c r="I194" s="2">
        <v>46084.620138888895</v>
      </c>
      <c r="J194" t="s">
        <v>22</v>
      </c>
      <c r="K194" s="3">
        <f>(G194-F194)*1440</f>
        <v>5.9999999986030161</v>
      </c>
      <c r="L194" s="3">
        <f>(H194-G194)*1440</f>
        <v>14.00000000372529</v>
      </c>
      <c r="M194" s="3">
        <f>(I194-H194)*1440</f>
        <v>75.00000000349246</v>
      </c>
      <c r="N194" s="3">
        <f>(I194-F194)*1440</f>
        <v>95.000000005820766</v>
      </c>
      <c r="O194" t="str">
        <f>IF(OR(K194&lt;0,L194&lt;0,M194&lt;0,N194&lt;0),"Check","OK")</f>
        <v>OK</v>
      </c>
    </row>
    <row r="195" spans="1:15" ht="30" x14ac:dyDescent="0.25">
      <c r="A195" t="s">
        <v>239</v>
      </c>
      <c r="B195" s="1" t="s">
        <v>46</v>
      </c>
      <c r="C195" t="s">
        <v>10</v>
      </c>
      <c r="D195" t="s">
        <v>47</v>
      </c>
      <c r="E195" t="s">
        <v>15</v>
      </c>
      <c r="F195" s="2">
        <v>46083.885416666664</v>
      </c>
      <c r="G195" s="2">
        <v>46083.890277777777</v>
      </c>
      <c r="H195" s="2">
        <v>46083.893749999996</v>
      </c>
      <c r="I195" s="2">
        <v>46083.94930555555</v>
      </c>
      <c r="J195" t="s">
        <v>20</v>
      </c>
      <c r="K195" s="3">
        <f>(G195-F195)*1440</f>
        <v>7.0000000018626451</v>
      </c>
      <c r="L195" s="3">
        <f>(H195-G195)*1440</f>
        <v>4.9999999953433871</v>
      </c>
      <c r="M195" s="3">
        <f>(I195-H195)*1440</f>
        <v>79.999999998835847</v>
      </c>
      <c r="N195" s="3">
        <f>(I195-F195)*1440</f>
        <v>91.999999996041879</v>
      </c>
      <c r="O195" t="str">
        <f>IF(OR(K195&lt;0,L195&lt;0,M195&lt;0,N195&lt;0),"Check","OK")</f>
        <v>OK</v>
      </c>
    </row>
    <row r="196" spans="1:15" ht="30" x14ac:dyDescent="0.25">
      <c r="A196" t="s">
        <v>120</v>
      </c>
      <c r="B196" s="1" t="s">
        <v>63</v>
      </c>
      <c r="C196" t="s">
        <v>10</v>
      </c>
      <c r="D196" t="s">
        <v>64</v>
      </c>
      <c r="E196" t="s">
        <v>17</v>
      </c>
      <c r="F196" s="2">
        <v>46088.957638888889</v>
      </c>
      <c r="G196" s="2">
        <v>46088.970138888886</v>
      </c>
      <c r="H196" s="2">
        <v>46088.973611111105</v>
      </c>
      <c r="I196" s="2">
        <v>46089.020138888882</v>
      </c>
      <c r="J196" t="s">
        <v>22</v>
      </c>
      <c r="K196" s="3">
        <f>(G196-F196)*1440</f>
        <v>17.999999995809048</v>
      </c>
      <c r="L196" s="3">
        <f>(H196-G196)*1440</f>
        <v>4.9999999953433871</v>
      </c>
      <c r="M196" s="3">
        <f>(I196-H196)*1440</f>
        <v>66.999999998370185</v>
      </c>
      <c r="N196" s="3">
        <f>(I196-F196)*1440</f>
        <v>89.999999989522621</v>
      </c>
      <c r="O196" t="str">
        <f>IF(OR(K196&lt;0,L196&lt;0,M196&lt;0,N196&lt;0),"Check","OK")</f>
        <v>OK</v>
      </c>
    </row>
    <row r="197" spans="1:15" ht="30" x14ac:dyDescent="0.25">
      <c r="A197" t="s">
        <v>196</v>
      </c>
      <c r="B197" s="1" t="s">
        <v>63</v>
      </c>
      <c r="C197" t="s">
        <v>10</v>
      </c>
      <c r="D197" t="s">
        <v>64</v>
      </c>
      <c r="E197" t="s">
        <v>17</v>
      </c>
      <c r="F197" s="2">
        <v>46088.95416666667</v>
      </c>
      <c r="G197" s="2">
        <v>46088.958333333336</v>
      </c>
      <c r="H197" s="2">
        <v>46088.962500000001</v>
      </c>
      <c r="I197" s="2">
        <v>46089.015972222223</v>
      </c>
      <c r="J197" t="s">
        <v>22</v>
      </c>
      <c r="K197" s="3">
        <f>(G197-F197)*1440</f>
        <v>5.9999999986030161</v>
      </c>
      <c r="L197" s="3">
        <f>(H197-G197)*1440</f>
        <v>5.9999999986030161</v>
      </c>
      <c r="M197" s="3">
        <f>(I197-H197)*1440</f>
        <v>76.999999999534339</v>
      </c>
      <c r="N197" s="3">
        <f>(I197-F197)*1440</f>
        <v>88.999999996740371</v>
      </c>
      <c r="O197" t="str">
        <f>IF(OR(K197&lt;0,L197&lt;0,M197&lt;0,N197&lt;0),"Check","OK")</f>
        <v>OK</v>
      </c>
    </row>
    <row r="198" spans="1:15" ht="30" x14ac:dyDescent="0.25">
      <c r="A198" t="s">
        <v>229</v>
      </c>
      <c r="B198" s="1" t="s">
        <v>46</v>
      </c>
      <c r="C198" t="s">
        <v>10</v>
      </c>
      <c r="D198" t="s">
        <v>47</v>
      </c>
      <c r="E198" t="s">
        <v>15</v>
      </c>
      <c r="F198" s="2">
        <v>46086.439583333333</v>
      </c>
      <c r="G198" s="2">
        <v>46086.445833333331</v>
      </c>
      <c r="H198" s="2">
        <v>46086.44930555555</v>
      </c>
      <c r="I198" s="2">
        <v>46086.501388888886</v>
      </c>
      <c r="J198" t="s">
        <v>22</v>
      </c>
      <c r="K198" s="3">
        <f>(G198-F198)*1440</f>
        <v>8.9999999979045242</v>
      </c>
      <c r="L198" s="3">
        <f>(H198-G198)*1440</f>
        <v>4.9999999953433871</v>
      </c>
      <c r="M198" s="3">
        <f>(I198-H198)*1440</f>
        <v>75.00000000349246</v>
      </c>
      <c r="N198" s="3">
        <f>(I198-F198)*1440</f>
        <v>88.999999996740371</v>
      </c>
      <c r="O198" t="str">
        <f>IF(OR(K198&lt;0,L198&lt;0,M198&lt;0,N198&lt;0),"Check","OK")</f>
        <v>OK</v>
      </c>
    </row>
    <row r="199" spans="1:15" ht="30" x14ac:dyDescent="0.25">
      <c r="A199" t="s">
        <v>230</v>
      </c>
      <c r="B199" s="1" t="s">
        <v>63</v>
      </c>
      <c r="C199" t="s">
        <v>10</v>
      </c>
      <c r="D199" t="s">
        <v>64</v>
      </c>
      <c r="E199" t="s">
        <v>18</v>
      </c>
      <c r="F199" s="2">
        <v>46083.286111111112</v>
      </c>
      <c r="G199" s="2">
        <v>46083.291666666672</v>
      </c>
      <c r="H199" s="2">
        <v>46083.301388888896</v>
      </c>
      <c r="I199" s="2">
        <v>46083.346527777787</v>
      </c>
      <c r="J199" t="s">
        <v>22</v>
      </c>
      <c r="K199" s="3">
        <f>(G199-F199)*1440</f>
        <v>8.0000000051222742</v>
      </c>
      <c r="L199" s="3">
        <f>(H199-G199)*1440</f>
        <v>14.00000000372529</v>
      </c>
      <c r="M199" s="3">
        <f>(I199-H199)*1440</f>
        <v>65.000000002328306</v>
      </c>
      <c r="N199" s="3">
        <f>(I199-F199)*1440</f>
        <v>87.000000011175871</v>
      </c>
      <c r="O199" t="str">
        <f>IF(OR(K199&lt;0,L199&lt;0,M199&lt;0,N199&lt;0),"Check","OK")</f>
        <v>OK</v>
      </c>
    </row>
    <row r="200" spans="1:15" ht="30" x14ac:dyDescent="0.25">
      <c r="A200" t="s">
        <v>168</v>
      </c>
      <c r="B200" s="1" t="s">
        <v>46</v>
      </c>
      <c r="C200" t="s">
        <v>10</v>
      </c>
      <c r="D200" t="s">
        <v>47</v>
      </c>
      <c r="E200" t="s">
        <v>14</v>
      </c>
      <c r="F200" s="2">
        <v>46088.530555555553</v>
      </c>
      <c r="G200" s="2">
        <v>46088.538194444445</v>
      </c>
      <c r="H200" s="2">
        <v>46088.543055555558</v>
      </c>
      <c r="I200" s="2">
        <v>46088.590277777781</v>
      </c>
      <c r="J200" t="s">
        <v>22</v>
      </c>
      <c r="K200" s="3">
        <f>(G200-F200)*1440</f>
        <v>11.000000004423782</v>
      </c>
      <c r="L200" s="3">
        <f>(H200-G200)*1440</f>
        <v>7.0000000018626451</v>
      </c>
      <c r="M200" s="3">
        <f>(I200-H200)*1440</f>
        <v>68.000000001629815</v>
      </c>
      <c r="N200" s="3">
        <f>(I200-F200)*1440</f>
        <v>86.000000007916242</v>
      </c>
      <c r="O200" t="str">
        <f>IF(OR(K200&lt;0,L200&lt;0,M200&lt;0,N200&lt;0),"Check","OK")</f>
        <v>OK</v>
      </c>
    </row>
    <row r="201" spans="1:15" x14ac:dyDescent="0.25">
      <c r="B201" s="1"/>
      <c r="G201" s="2"/>
      <c r="H201" s="2"/>
      <c r="K201"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Project_Overview</vt:lpstr>
      <vt:lpstr>Dashboard</vt:lpstr>
      <vt:lpstr>Methodology</vt:lpstr>
      <vt:lpstr>Workflow_TAT_Breakdown</vt:lpstr>
      <vt:lpstr>Pivot_TAT_By_Platform</vt:lpstr>
      <vt:lpstr>Pivot_TAT_By_Location</vt:lpstr>
      <vt:lpstr>Pivot_TAT_By_Shift</vt:lpstr>
      <vt:lpstr>Pivot_Test_Volume_By_Platform</vt:lpstr>
      <vt:lpstr>Pivot_KPI</vt:lpstr>
      <vt:lpstr>Raw_Molecular_TAT_Data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Henderson</dc:creator>
  <cp:keywords/>
  <dc:description/>
  <cp:lastModifiedBy>Stephen Henderson</cp:lastModifiedBy>
  <cp:revision/>
  <cp:lastPrinted>2026-03-13T20:06:29Z</cp:lastPrinted>
  <dcterms:created xsi:type="dcterms:W3CDTF">2026-03-08T01:12:21Z</dcterms:created>
  <dcterms:modified xsi:type="dcterms:W3CDTF">2026-03-13T20:06:59Z</dcterms:modified>
  <cp:category/>
  <cp:contentStatus/>
</cp:coreProperties>
</file>